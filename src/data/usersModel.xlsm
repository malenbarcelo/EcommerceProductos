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H8" i="1"/>
  <c r="H7" i="1"/>
  <c r="H6" i="1"/>
  <c r="H5" i="1"/>
  <c r="H4" i="1"/>
  <c r="H3" i="1"/>
  <c r="F9" i="1"/>
  <c r="G9" i="1"/>
  <c r="E5" i="1"/>
  <c r="E4" i="1"/>
  <c r="E3" i="1"/>
  <c r="E2" i="1"/>
  <c r="B5" i="1"/>
  <c r="B4" i="1"/>
  <c r="B3" i="1"/>
  <c r="B2" i="1"/>
  <c r="F8" i="1"/>
  <c r="G8" i="1"/>
  <c r="F7" i="1"/>
  <c r="G7" i="1"/>
  <c r="F6" i="1"/>
  <c r="G6" i="1"/>
  <c r="G5" i="1" l="1"/>
  <c r="G4" i="1"/>
  <c r="G3" i="1"/>
  <c r="G2" i="1"/>
  <c r="F5" i="1"/>
  <c r="F4" i="1"/>
  <c r="F3" i="1"/>
  <c r="F2" i="1"/>
</calcChain>
</file>

<file path=xl/sharedStrings.xml><?xml version="1.0" encoding="utf-8"?>
<sst xmlns="http://schemas.openxmlformats.org/spreadsheetml/2006/main" count="68" uniqueCount="57">
  <si>
    <t>id</t>
  </si>
  <si>
    <t>company</t>
  </si>
  <si>
    <t>address</t>
  </si>
  <si>
    <t>phoneNumber</t>
  </si>
  <si>
    <t>email</t>
  </si>
  <si>
    <t>sector</t>
  </si>
  <si>
    <t>Hotelería</t>
  </si>
  <si>
    <t>Gastronomía</t>
  </si>
  <si>
    <t>city</t>
  </si>
  <si>
    <t>password</t>
  </si>
  <si>
    <t>userImage</t>
  </si>
  <si>
    <t>category</t>
  </si>
  <si>
    <t>cliente</t>
  </si>
  <si>
    <t>Adm1</t>
  </si>
  <si>
    <t>Adm2</t>
  </si>
  <si>
    <t>Adm3</t>
  </si>
  <si>
    <t>CUIT-CUIL</t>
  </si>
  <si>
    <t>NA</t>
  </si>
  <si>
    <t>administrador</t>
  </si>
  <si>
    <t>adm1@gmail.com</t>
  </si>
  <si>
    <t>adm2@gmail.com</t>
  </si>
  <si>
    <t>adm3@gmail.com</t>
  </si>
  <si>
    <t>pswadm1</t>
  </si>
  <si>
    <t>pswadm2</t>
  </si>
  <si>
    <t>pswadm3</t>
  </si>
  <si>
    <t>Adm4</t>
  </si>
  <si>
    <t>adm4@gmail.com</t>
  </si>
  <si>
    <t>company1.jpg</t>
  </si>
  <si>
    <t>company2.jpg</t>
  </si>
  <si>
    <t>adm1.jpg</t>
  </si>
  <si>
    <t>adm2.jpg</t>
  </si>
  <si>
    <t>adm3.jpg</t>
  </si>
  <si>
    <t>adm4.jpg</t>
  </si>
  <si>
    <t>company3.jpg</t>
  </si>
  <si>
    <t>company4.jpg</t>
  </si>
  <si>
    <t>pswcompany1</t>
  </si>
  <si>
    <t>pswcompany2</t>
  </si>
  <si>
    <t>pswcompany3</t>
  </si>
  <si>
    <t>pswcompany4</t>
  </si>
  <si>
    <t>pswadm4</t>
  </si>
  <si>
    <t>$2a$10$pyqxlLE6pwvdbgdyCB2av.PlmSoHbr7FrDorFkjvou/vM3eaSqJDu</t>
  </si>
  <si>
    <t>$2a$10$azjrxZbn7K8G0K/xjfYDhuDPmqxzcOE7DtyUf3GDI9fK6fzA.JWNq</t>
  </si>
  <si>
    <t>$2a$10$URJuSszDDJhejtbelEM1GeN4FiEJ.2UUjWukxGlM7ly.425h9/qce</t>
  </si>
  <si>
    <t>$2a$10$It6HWUb38AU8KLNqKR9Li.7g32M.6vUUHhxvxT0lw3J6KJYW9Xtne</t>
  </si>
  <si>
    <t>$2a$10$KbzYuaVLfpY/6x0thWmXgeU5YFUPa0cnk2Rtqr81stHoARDLDIkUi</t>
  </si>
  <si>
    <t>$2a$10$HijE7V6/encEf0G1w/wspeYkuSwa0M9gDLKIyIXX18R0w7JP8Tm.q</t>
  </si>
  <si>
    <t>$2a$10$9cM406KHpZ3zD7u1AJ9kOe3IH.1H5k2lj0hLZEATbtQVPTZ1ANMpG</t>
  </si>
  <si>
    <t>$2a$10$srjhmHpXdjY3yRy5K.xIuOBmOvPCRJ0MtvVN/DKlEhql7tq35YVz2</t>
  </si>
  <si>
    <t>password hashed</t>
  </si>
  <si>
    <t>{"id":"1","company":"Company1","CUIT-CUIL":"111111","sector":"Hotelería","email":"company1@gmail.com","address":"calle 1 nro 1","city":"Ciudad 1","phoneNumber":"11111111","image":"company1.jpg","password":"$2a$10$pyqxlLE6pwvdbgdyCB2av.PlmSoHbr7FrDorFkjvou/vM3eaSqJDu","category":"cliente"},</t>
  </si>
  <si>
    <t>{"id":"2","company":"Company2","CUIT-CUIL":"222222","sector":"Hotelería","email":"company2@gmail.com","address":"calle 2 nro 2","city":"Ciudad 2","phoneNumber":"22222222","image":"company2.jpg","password":"$2a$10$azjrxZbn7K8G0K/xjfYDhuDPmqxzcOE7DtyUf3GDI9fK6fzA.JWNq","category":"cliente"},</t>
  </si>
  <si>
    <t>{"id":"3","company":"Company3","CUIT-CUIL":"333333","sector":"Hotelería","email":"company3@gmail.com","address":"calle 3 nro 3","city":"Ciudad 3","phoneNumber":"33333333","image":"company3.jpg","password":"$2a$10$URJuSszDDJhejtbelEM1GeN4FiEJ.2UUjWukxGlM7ly.425h9/qce","category":"cliente"},</t>
  </si>
  <si>
    <t>{"id":"4","company":"Company4","CUIT-CUIL":"444444","sector":"Gastronomía","email":"company4@gmail.com","address":"calle 4 nro 4","city":"Ciudad 4","phoneNumber":"44444444","image":"company4.jpg","password":"$2a$10$It6HWUb38AU8KLNqKR9Li.7g32M.6vUUHhxvxT0lw3J6KJYW9Xtne","category":"cliente"},</t>
  </si>
  <si>
    <t>{"id":"5","company":"Adm1","CUIT-CUIL":"555555","sector":"NA","email":"adm1@gmail.com","address":"calle 5 nro 5","city":"Ciudad 5","phoneNumber":"55555555","image":"adm1.jpg","password":"$2a$10$KbzYuaVLfpY/6x0thWmXgeU5YFUPa0cnk2Rtqr81stHoARDLDIkUi","category":"administrador"},</t>
  </si>
  <si>
    <t>{"id":"6","company":"Adm2","CUIT-CUIL":"666666","sector":"NA","email":"adm2@gmail.com","address":"calle 6 nro 6","city":"Ciudad 6","phoneNumber":"66666666","image":"adm2.jpg","password":"$2a$10$HijE7V6/encEf0G1w/wspeYkuSwa0M9gDLKIyIXX18R0w7JP8Tm.q","category":"administrador"},</t>
  </si>
  <si>
    <t>{"id":"7","company":"Adm3","CUIT-CUIL":"777777","sector":"NA","email":"adm3@gmail.com","address":"calle 7 nro 7","city":"Ciudad 7","phoneNumber":"77777777","image":"adm3.jpg","password":"$2a$10$9cM406KHpZ3zD7u1AJ9kOe3IH.1H5k2lj0hLZEATbtQVPTZ1ANMpG","category":"administrador"},</t>
  </si>
  <si>
    <t>{"id":"8","company":"Adm4","CUIT-CUIL":"888888","sector":"NA","email":"adm4@gmail.com","address":"calle 8 nro 8","city":"Ciudad 8","phoneNumber":"88888888","image":"adm4.jpg","password":"$2a$10$srjhmHpXdjY3yRy5K.xIuOBmOvPCRJ0MtvVN/DKlEhql7tq35YVz2","category":"administrador"},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</si>
</sst>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3" fillId="0" borderId="1" xfId="2" applyNumberFormat="1" applyBorder="1" applyAlignment="1">
      <alignment horizontal="center"/>
    </xf>
    <xf numFmtId="0" fontId="0" fillId="0" borderId="1" xfId="1" applyNumberFormat="1" applyFont="1" applyFill="1" applyBorder="1" applyAlignment="1">
      <alignment horizont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dm3@gmail.com" TargetMode="External"/><Relationship Id="rId2" Type="http://schemas.openxmlformats.org/officeDocument/2006/relationships/hyperlink" Target="mailto:adm2@gmail.com" TargetMode="External"/><Relationship Id="rId1" Type="http://schemas.openxmlformats.org/officeDocument/2006/relationships/hyperlink" Target="mailto:adm1@gmail.com" TargetMode="External"/><Relationship Id="rId4" Type="http://schemas.openxmlformats.org/officeDocument/2006/relationships/hyperlink" Target="mailto:adm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2"/>
  <sheetViews>
    <sheetView showGridLines="0" topLeftCell="C1" workbookViewId="0">
      <selection activeCell="J12" sqref="J12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4" width="14.453125" customWidth="1"/>
    <col min="5" max="5" width="20.453125" bestFit="1" customWidth="1"/>
    <col min="6" max="7" width="15.453125" customWidth="1"/>
    <col min="8" max="8" width="13" bestFit="1" customWidth="1"/>
    <col min="9" max="11" width="14.453125" customWidth="1"/>
  </cols>
  <sheetData>
    <row r="1" spans="1:12" x14ac:dyDescent="0.35">
      <c r="A1" s="2" t="s">
        <v>0</v>
      </c>
      <c r="B1" s="2" t="s">
        <v>1</v>
      </c>
      <c r="C1" s="2" t="s">
        <v>16</v>
      </c>
      <c r="D1" s="2" t="s">
        <v>5</v>
      </c>
      <c r="E1" s="2" t="s">
        <v>4</v>
      </c>
      <c r="F1" s="2" t="s">
        <v>2</v>
      </c>
      <c r="G1" s="2" t="s">
        <v>8</v>
      </c>
      <c r="H1" s="2" t="s">
        <v>3</v>
      </c>
      <c r="I1" s="2" t="s">
        <v>10</v>
      </c>
      <c r="J1" s="2" t="s">
        <v>9</v>
      </c>
      <c r="K1" s="2" t="s">
        <v>11</v>
      </c>
      <c r="L1" s="2" t="s">
        <v>48</v>
      </c>
    </row>
    <row r="2" spans="1:12" x14ac:dyDescent="0.35">
      <c r="A2" s="1">
        <v>1</v>
      </c>
      <c r="B2" s="3" t="str">
        <f>+"Company"&amp;A2</f>
        <v>Company1</v>
      </c>
      <c r="C2" s="1">
        <v>111111</v>
      </c>
      <c r="D2" s="9" t="s">
        <v>6</v>
      </c>
      <c r="E2" s="9" t="str">
        <f>+"company"&amp;A2&amp;"@gmail.com"</f>
        <v>company1@gmail.com</v>
      </c>
      <c r="F2" s="1" t="str">
        <f>+"calle "&amp;A2&amp;" nro "&amp;A2</f>
        <v>calle 1 nro 1</v>
      </c>
      <c r="G2" s="1" t="str">
        <f>+"Ciudad "&amp;A2</f>
        <v>Ciudad 1</v>
      </c>
      <c r="H2" s="8">
        <v>11111111</v>
      </c>
      <c r="I2" s="9" t="s">
        <v>27</v>
      </c>
      <c r="J2" s="11" t="s">
        <v>40</v>
      </c>
      <c r="K2" s="9" t="s">
        <v>12</v>
      </c>
      <c r="L2" s="9" t="s">
        <v>35</v>
      </c>
    </row>
    <row r="3" spans="1:12" x14ac:dyDescent="0.35">
      <c r="A3" s="1">
        <v>2</v>
      </c>
      <c r="B3" s="3" t="str">
        <f t="shared" ref="B3:B5" si="0">+"Company"&amp;A3</f>
        <v>Company2</v>
      </c>
      <c r="C3" s="1">
        <v>222222</v>
      </c>
      <c r="D3" s="9" t="s">
        <v>6</v>
      </c>
      <c r="E3" s="9" t="str">
        <f t="shared" ref="E3:E9" si="1">+"company"&amp;A3&amp;"@gmail.com"</f>
        <v>company2@gmail.com</v>
      </c>
      <c r="F3" s="1" t="str">
        <f t="shared" ref="F3:F9" si="2">+"calle "&amp;A3&amp;" nro "&amp;A3</f>
        <v>calle 2 nro 2</v>
      </c>
      <c r="G3" s="1" t="str">
        <f t="shared" ref="G3:G9" si="3">+"Ciudad "&amp;A3</f>
        <v>Ciudad 2</v>
      </c>
      <c r="H3" s="8">
        <f>+H2*2</f>
        <v>22222222</v>
      </c>
      <c r="I3" s="9" t="s">
        <v>28</v>
      </c>
      <c r="J3" s="11" t="s">
        <v>41</v>
      </c>
      <c r="K3" s="9" t="s">
        <v>12</v>
      </c>
      <c r="L3" s="9" t="s">
        <v>36</v>
      </c>
    </row>
    <row r="4" spans="1:12" x14ac:dyDescent="0.35">
      <c r="A4" s="1">
        <v>3</v>
      </c>
      <c r="B4" s="3" t="str">
        <f t="shared" si="0"/>
        <v>Company3</v>
      </c>
      <c r="C4" s="1">
        <v>333333</v>
      </c>
      <c r="D4" s="9" t="s">
        <v>6</v>
      </c>
      <c r="E4" s="9" t="str">
        <f t="shared" si="1"/>
        <v>company3@gmail.com</v>
      </c>
      <c r="F4" s="1" t="str">
        <f t="shared" si="2"/>
        <v>calle 3 nro 3</v>
      </c>
      <c r="G4" s="1" t="str">
        <f t="shared" si="3"/>
        <v>Ciudad 3</v>
      </c>
      <c r="H4" s="8">
        <f>+H2*3</f>
        <v>33333333</v>
      </c>
      <c r="I4" s="9" t="s">
        <v>33</v>
      </c>
      <c r="J4" s="11" t="s">
        <v>42</v>
      </c>
      <c r="K4" s="9" t="s">
        <v>12</v>
      </c>
      <c r="L4" s="9" t="s">
        <v>37</v>
      </c>
    </row>
    <row r="5" spans="1:12" x14ac:dyDescent="0.35">
      <c r="A5" s="1">
        <v>4</v>
      </c>
      <c r="B5" s="3" t="str">
        <f t="shared" si="0"/>
        <v>Company4</v>
      </c>
      <c r="C5" s="1">
        <v>444444</v>
      </c>
      <c r="D5" s="9" t="s">
        <v>7</v>
      </c>
      <c r="E5" s="9" t="str">
        <f t="shared" si="1"/>
        <v>company4@gmail.com</v>
      </c>
      <c r="F5" s="1" t="str">
        <f t="shared" si="2"/>
        <v>calle 4 nro 4</v>
      </c>
      <c r="G5" s="1" t="str">
        <f t="shared" si="3"/>
        <v>Ciudad 4</v>
      </c>
      <c r="H5" s="8">
        <f>+H2*4</f>
        <v>44444444</v>
      </c>
      <c r="I5" s="9" t="s">
        <v>34</v>
      </c>
      <c r="J5" s="11" t="s">
        <v>43</v>
      </c>
      <c r="K5" s="9" t="s">
        <v>12</v>
      </c>
      <c r="L5" s="9" t="s">
        <v>38</v>
      </c>
    </row>
    <row r="6" spans="1:12" x14ac:dyDescent="0.35">
      <c r="A6" s="1">
        <v>5</v>
      </c>
      <c r="B6" s="3" t="s">
        <v>13</v>
      </c>
      <c r="C6" s="1">
        <v>555555</v>
      </c>
      <c r="D6" s="4" t="s">
        <v>17</v>
      </c>
      <c r="E6" s="10" t="s">
        <v>19</v>
      </c>
      <c r="F6" s="1" t="str">
        <f t="shared" si="2"/>
        <v>calle 5 nro 5</v>
      </c>
      <c r="G6" s="1" t="str">
        <f t="shared" si="3"/>
        <v>Ciudad 5</v>
      </c>
      <c r="H6" s="8">
        <f>+H2*5</f>
        <v>55555555</v>
      </c>
      <c r="I6" s="4" t="s">
        <v>29</v>
      </c>
      <c r="J6" s="11" t="s">
        <v>44</v>
      </c>
      <c r="K6" s="4" t="s">
        <v>18</v>
      </c>
      <c r="L6" s="9" t="s">
        <v>22</v>
      </c>
    </row>
    <row r="7" spans="1:12" x14ac:dyDescent="0.35">
      <c r="A7" s="1">
        <v>6</v>
      </c>
      <c r="B7" s="3" t="s">
        <v>14</v>
      </c>
      <c r="C7" s="1">
        <v>666666</v>
      </c>
      <c r="D7" s="4" t="s">
        <v>17</v>
      </c>
      <c r="E7" s="10" t="s">
        <v>20</v>
      </c>
      <c r="F7" s="1" t="str">
        <f t="shared" si="2"/>
        <v>calle 6 nro 6</v>
      </c>
      <c r="G7" s="1" t="str">
        <f t="shared" si="3"/>
        <v>Ciudad 6</v>
      </c>
      <c r="H7" s="8">
        <f>+H2*6</f>
        <v>66666666</v>
      </c>
      <c r="I7" s="4" t="s">
        <v>30</v>
      </c>
      <c r="J7" s="11" t="s">
        <v>45</v>
      </c>
      <c r="K7" s="4" t="s">
        <v>18</v>
      </c>
      <c r="L7" s="9" t="s">
        <v>23</v>
      </c>
    </row>
    <row r="8" spans="1:12" x14ac:dyDescent="0.35">
      <c r="A8" s="1">
        <v>7</v>
      </c>
      <c r="B8" s="3" t="s">
        <v>15</v>
      </c>
      <c r="C8" s="1">
        <v>777777</v>
      </c>
      <c r="D8" s="4" t="s">
        <v>17</v>
      </c>
      <c r="E8" s="10" t="s">
        <v>21</v>
      </c>
      <c r="F8" s="1" t="str">
        <f t="shared" si="2"/>
        <v>calle 7 nro 7</v>
      </c>
      <c r="G8" s="1" t="str">
        <f t="shared" si="3"/>
        <v>Ciudad 7</v>
      </c>
      <c r="H8" s="8">
        <f>+H2*7</f>
        <v>77777777</v>
      </c>
      <c r="I8" s="4" t="s">
        <v>31</v>
      </c>
      <c r="J8" s="11" t="s">
        <v>46</v>
      </c>
      <c r="K8" s="4" t="s">
        <v>18</v>
      </c>
      <c r="L8" s="9" t="s">
        <v>24</v>
      </c>
    </row>
    <row r="9" spans="1:12" x14ac:dyDescent="0.35">
      <c r="A9" s="1">
        <v>8</v>
      </c>
      <c r="B9" s="3" t="s">
        <v>25</v>
      </c>
      <c r="C9" s="1">
        <v>888888</v>
      </c>
      <c r="D9" s="4" t="s">
        <v>17</v>
      </c>
      <c r="E9" s="10" t="s">
        <v>26</v>
      </c>
      <c r="F9" s="1" t="str">
        <f t="shared" si="2"/>
        <v>calle 8 nro 8</v>
      </c>
      <c r="G9" s="1" t="str">
        <f t="shared" si="3"/>
        <v>Ciudad 8</v>
      </c>
      <c r="H9" s="5">
        <f>+H2*8</f>
        <v>88888888</v>
      </c>
      <c r="I9" s="4" t="s">
        <v>32</v>
      </c>
      <c r="J9" s="11" t="s">
        <v>47</v>
      </c>
      <c r="K9" s="4" t="s">
        <v>18</v>
      </c>
      <c r="L9" s="4" t="s">
        <v>39</v>
      </c>
    </row>
    <row r="10" spans="1:12" x14ac:dyDescent="0.35">
      <c r="A10" s="1"/>
      <c r="B10" s="3"/>
      <c r="C10" s="1"/>
      <c r="D10" s="4"/>
      <c r="E10" s="4"/>
      <c r="F10" s="1"/>
      <c r="G10" s="1"/>
      <c r="H10" s="5"/>
      <c r="I10" s="4"/>
      <c r="J10" s="4"/>
      <c r="K10" s="4"/>
    </row>
    <row r="11" spans="1:12" x14ac:dyDescent="0.35">
      <c r="A11" s="1"/>
      <c r="B11" s="1"/>
      <c r="C11" s="1"/>
      <c r="D11" s="4"/>
      <c r="E11" s="1"/>
      <c r="F11" s="1"/>
      <c r="G11" s="1"/>
      <c r="H11" s="5"/>
      <c r="I11" s="4"/>
      <c r="J11" s="4"/>
      <c r="K11" s="4"/>
    </row>
    <row r="12" spans="1:12" x14ac:dyDescent="0.35">
      <c r="A12" s="1"/>
      <c r="B12" s="1"/>
      <c r="C12" s="1"/>
      <c r="D12" s="4"/>
      <c r="E12" s="1"/>
      <c r="F12" s="1"/>
      <c r="G12" s="1"/>
      <c r="H12" s="5"/>
      <c r="I12" s="4"/>
      <c r="J12" s="4"/>
      <c r="K12" s="4"/>
    </row>
  </sheetData>
  <hyperlinks>
    <hyperlink ref="E6" r:id="rId1"/>
    <hyperlink ref="E7" r:id="rId2"/>
    <hyperlink ref="E8" r:id="rId3"/>
    <hyperlink ref="E9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9"/>
  <sheetViews>
    <sheetView tabSelected="1" workbookViewId="0">
      <selection activeCell="A13" sqref="A13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49</v>
      </c>
    </row>
    <row r="3" spans="1:1" x14ac:dyDescent="0.35">
      <c r="A3" t="s">
        <v>50</v>
      </c>
    </row>
    <row r="4" spans="1:1" x14ac:dyDescent="0.35">
      <c r="A4" t="s">
        <v>51</v>
      </c>
    </row>
    <row r="5" spans="1:1" x14ac:dyDescent="0.35">
      <c r="A5" t="s">
        <v>52</v>
      </c>
    </row>
    <row r="6" spans="1:1" x14ac:dyDescent="0.35">
      <c r="A6" t="s">
        <v>53</v>
      </c>
    </row>
    <row r="7" spans="1:1" x14ac:dyDescent="0.35">
      <c r="A7" t="s">
        <v>54</v>
      </c>
    </row>
    <row r="8" spans="1:1" x14ac:dyDescent="0.35">
      <c r="A8" t="s">
        <v>55</v>
      </c>
    </row>
    <row r="9" spans="1:1" x14ac:dyDescent="0.35">
      <c r="A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2022-12-14T23:14:09Z</dcterms:modified>
</cp:coreProperties>
</file>