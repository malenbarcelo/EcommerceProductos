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2"/>
  </bookViews>
  <sheets>
    <sheet name="Datos" sheetId="1" r:id="rId1"/>
    <sheet name="JSON" sheetId="2" r:id="rId2"/>
    <sheet name="Hoj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3" l="1"/>
  <c r="J31" i="3" s="1"/>
  <c r="J32" i="3" s="1"/>
  <c r="J33" i="3" s="1"/>
  <c r="J34" i="3" s="1"/>
  <c r="J35" i="3" s="1"/>
  <c r="J36" i="3" s="1"/>
  <c r="J29" i="3"/>
  <c r="J28" i="3"/>
  <c r="L15" i="3" l="1"/>
  <c r="J24" i="3"/>
  <c r="J23" i="3"/>
  <c r="J22" i="3"/>
  <c r="J21" i="3"/>
  <c r="J20" i="3"/>
  <c r="J19" i="3"/>
  <c r="J18" i="3"/>
  <c r="J17" i="3"/>
  <c r="J16" i="3"/>
  <c r="I24" i="3"/>
  <c r="I23" i="3"/>
  <c r="I22" i="3"/>
  <c r="I21" i="3"/>
  <c r="I20" i="3"/>
  <c r="I19" i="3"/>
  <c r="I18" i="3"/>
  <c r="H24" i="3"/>
  <c r="H23" i="3"/>
  <c r="H22" i="3"/>
  <c r="H21" i="3"/>
  <c r="H20" i="3"/>
  <c r="H19" i="3"/>
  <c r="H18" i="3"/>
  <c r="H17" i="3"/>
  <c r="H16" i="3"/>
  <c r="G24" i="3"/>
  <c r="G23" i="3"/>
  <c r="G22" i="3"/>
  <c r="G21" i="3"/>
  <c r="G20" i="3"/>
  <c r="G19" i="3"/>
  <c r="G18" i="3"/>
  <c r="G17" i="3"/>
  <c r="G16" i="3"/>
  <c r="L24" i="3" l="1"/>
  <c r="L16" i="3"/>
  <c r="L19" i="3"/>
  <c r="L18" i="3"/>
  <c r="L17" i="3"/>
  <c r="L23" i="3"/>
  <c r="L22" i="3"/>
  <c r="L21" i="3"/>
  <c r="L20" i="3"/>
  <c r="H9" i="1"/>
  <c r="H8" i="1"/>
  <c r="H7" i="1"/>
  <c r="H6" i="1"/>
  <c r="H5" i="1"/>
  <c r="H4" i="1"/>
  <c r="H3" i="1"/>
  <c r="F9" i="1"/>
  <c r="G9" i="1"/>
  <c r="E5" i="1"/>
  <c r="E4" i="1"/>
  <c r="E3" i="1"/>
  <c r="E2" i="1"/>
  <c r="B5" i="1"/>
  <c r="B4" i="1"/>
  <c r="B3" i="1"/>
  <c r="B2" i="1"/>
  <c r="F8" i="1"/>
  <c r="G8" i="1"/>
  <c r="F7" i="1"/>
  <c r="G7" i="1"/>
  <c r="F6" i="1"/>
  <c r="G6" i="1"/>
  <c r="G5" i="1" l="1"/>
  <c r="G4" i="1"/>
  <c r="G3" i="1"/>
  <c r="G2" i="1"/>
  <c r="F5" i="1"/>
  <c r="F4" i="1"/>
  <c r="F3" i="1"/>
  <c r="F2" i="1"/>
</calcChain>
</file>

<file path=xl/sharedStrings.xml><?xml version="1.0" encoding="utf-8"?>
<sst xmlns="http://schemas.openxmlformats.org/spreadsheetml/2006/main" count="135" uniqueCount="101">
  <si>
    <t>id</t>
  </si>
  <si>
    <t>company</t>
  </si>
  <si>
    <t>address</t>
  </si>
  <si>
    <t>phoneNumber</t>
  </si>
  <si>
    <t>email</t>
  </si>
  <si>
    <t>sector</t>
  </si>
  <si>
    <t>Hotelería</t>
  </si>
  <si>
    <t>Gastronomía</t>
  </si>
  <si>
    <t>city</t>
  </si>
  <si>
    <t>password</t>
  </si>
  <si>
    <t>userImage</t>
  </si>
  <si>
    <t>category</t>
  </si>
  <si>
    <t>cliente</t>
  </si>
  <si>
    <t>Adm1</t>
  </si>
  <si>
    <t>Adm2</t>
  </si>
  <si>
    <t>Adm3</t>
  </si>
  <si>
    <t>CUIT-CUIL</t>
  </si>
  <si>
    <t>NA</t>
  </si>
  <si>
    <t>administrador</t>
  </si>
  <si>
    <t>adm1@gmail.com</t>
  </si>
  <si>
    <t>adm2@gmail.com</t>
  </si>
  <si>
    <t>adm3@gmail.com</t>
  </si>
  <si>
    <t>pswadm1</t>
  </si>
  <si>
    <t>pswadm2</t>
  </si>
  <si>
    <t>pswadm3</t>
  </si>
  <si>
    <t>Adm4</t>
  </si>
  <si>
    <t>adm4@gmail.com</t>
  </si>
  <si>
    <t>company1.jpg</t>
  </si>
  <si>
    <t>company2.jpg</t>
  </si>
  <si>
    <t>adm1.jpg</t>
  </si>
  <si>
    <t>adm2.jpg</t>
  </si>
  <si>
    <t>adm3.jpg</t>
  </si>
  <si>
    <t>adm4.jpg</t>
  </si>
  <si>
    <t>company3.jpg</t>
  </si>
  <si>
    <t>company4.jpg</t>
  </si>
  <si>
    <t>pswcompany1</t>
  </si>
  <si>
    <t>pswcompany2</t>
  </si>
  <si>
    <t>pswcompany3</t>
  </si>
  <si>
    <t>pswcompany4</t>
  </si>
  <si>
    <t>pswadm4</t>
  </si>
  <si>
    <t>$2a$10$pyqxlLE6pwvdbgdyCB2av.PlmSoHbr7FrDorFkjvou/vM3eaSqJDu</t>
  </si>
  <si>
    <t>$2a$10$azjrxZbn7K8G0K/xjfYDhuDPmqxzcOE7DtyUf3GDI9fK6fzA.JWNq</t>
  </si>
  <si>
    <t>$2a$10$URJuSszDDJhejtbelEM1GeN4FiEJ.2UUjWukxGlM7ly.425h9/qce</t>
  </si>
  <si>
    <t>$2a$10$It6HWUb38AU8KLNqKR9Li.7g32M.6vUUHhxvxT0lw3J6KJYW9Xtne</t>
  </si>
  <si>
    <t>$2a$10$KbzYuaVLfpY/6x0thWmXgeU5YFUPa0cnk2Rtqr81stHoARDLDIkUi</t>
  </si>
  <si>
    <t>$2a$10$HijE7V6/encEf0G1w/wspeYkuSwa0M9gDLKIyIXX18R0w7JP8Tm.q</t>
  </si>
  <si>
    <t>$2a$10$9cM406KHpZ3zD7u1AJ9kOe3IH.1H5k2lj0hLZEATbtQVPTZ1ANMpG</t>
  </si>
  <si>
    <t>$2a$10$srjhmHpXdjY3yRy5K.xIuOBmOvPCRJ0MtvVN/DKlEhql7tq35YVz2</t>
  </si>
  <si>
    <t>password hashed</t>
  </si>
  <si>
    <t>{"id":"1","company":"Company1","CUIT-CUIL":"111111","sector":"Hotelería","email":"company1@gmail.com","address":"calle 1 nro 1","city":"Ciudad 1","phoneNumber":"11111111","image":"company1.jpg","password":"$2a$10$pyqxlLE6pwvdbgdyCB2av.PlmSoHbr7FrDorFkjvou/vM3eaSqJDu","category":"cliente"},</t>
  </si>
  <si>
    <t>{"id":"2","company":"Company2","CUIT-CUIL":"222222","sector":"Hotelería","email":"company2@gmail.com","address":"calle 2 nro 2","city":"Ciudad 2","phoneNumber":"22222222","image":"company2.jpg","password":"$2a$10$azjrxZbn7K8G0K/xjfYDhuDPmqxzcOE7DtyUf3GDI9fK6fzA.JWNq","category":"cliente"},</t>
  </si>
  <si>
    <t>{"id":"3","company":"Company3","CUIT-CUIL":"333333","sector":"Hotelería","email":"company3@gmail.com","address":"calle 3 nro 3","city":"Ciudad 3","phoneNumber":"33333333","image":"company3.jpg","password":"$2a$10$URJuSszDDJhejtbelEM1GeN4FiEJ.2UUjWukxGlM7ly.425h9/qce","category":"cliente"},</t>
  </si>
  <si>
    <t>{"id":"4","company":"Company4","CUIT-CUIL":"444444","sector":"Gastronomía","email":"company4@gmail.com","address":"calle 4 nro 4","city":"Ciudad 4","phoneNumber":"44444444","image":"company4.jpg","password":"$2a$10$It6HWUb38AU8KLNqKR9Li.7g32M.6vUUHhxvxT0lw3J6KJYW9Xtne","category":"cliente"},</t>
  </si>
  <si>
    <t>{"id":"5","company":"Adm1","CUIT-CUIL":"555555","sector":"NA","email":"adm1@gmail.com","address":"calle 5 nro 5","city":"Ciudad 5","phoneNumber":"55555555","image":"adm1.jpg","password":"$2a$10$KbzYuaVLfpY/6x0thWmXgeU5YFUPa0cnk2Rtqr81stHoARDLDIkUi","category":"administrador"},</t>
  </si>
  <si>
    <t>{"id":"6","company":"Adm2","CUIT-CUIL":"666666","sector":"NA","email":"adm2@gmail.com","address":"calle 6 nro 6","city":"Ciudad 6","phoneNumber":"66666666","image":"adm2.jpg","password":"$2a$10$HijE7V6/encEf0G1w/wspeYkuSwa0M9gDLKIyIXX18R0w7JP8Tm.q","category":"administrador"},</t>
  </si>
  <si>
    <t>{"id":"7","company":"Adm3","CUIT-CUIL":"777777","sector":"NA","email":"adm3@gmail.com","address":"calle 7 nro 7","city":"Ciudad 7","phoneNumber":"77777777","image":"adm3.jpg","password":"$2a$10$9cM406KHpZ3zD7u1AJ9kOe3IH.1H5k2lj0hLZEATbtQVPTZ1ANMpG","category":"administrador"},</t>
  </si>
  <si>
    <t>{"id":"8","company":"Adm4","CUIT-CUIL":"888888","sector":"NA","email":"adm4@gmail.com","address":"calle 8 nro 8","city":"Ciudad 8","phoneNumber":"88888888","image":"adm4.jpg","password":"$2a$10$srjhmHpXdjY3yRy5K.xIuOBmOvPCRJ0MtvVN/DKlEhql7tq35YVz2","category":"administrador"},</t>
  </si>
  <si>
    <t>userId INT NOT NULL AUTO_INCREMENT,</t>
  </si>
  <si>
    <t>    userName VARCHAR(20) NOT NULL UNIQUE,</t>
  </si>
  <si>
    <t>    cuitCuil INT NOT NULL,</t>
  </si>
  <si>
    <t>    userSectorId INT NOT NULL,</t>
  </si>
  <si>
    <t>    userCategoryId INT NOT NULL,</t>
  </si>
  <si>
    <t>    email VARCHAR(50) NOT NULL UNIQUE,</t>
  </si>
  <si>
    <t>    address VARCHAR(100) NOT NULL,</t>
  </si>
  <si>
    <t>    city VARCHAR(20) NOT NULL,</t>
  </si>
  <si>
    <t>    phoneNumber INT NOT NULL,</t>
  </si>
  <si>
    <t>    userImage VARCHAR(50) NOT NULL,</t>
  </si>
  <si>
    <t>    password VARCHAR(10) NOT NULL,</t>
  </si>
  <si>
    <t xml:space="preserve">city </t>
  </si>
  <si>
    <t>pswcompany5</t>
  </si>
  <si>
    <t>pswcompany6</t>
  </si>
  <si>
    <t>user_name</t>
  </si>
  <si>
    <t>cuit_cuil</t>
  </si>
  <si>
    <t>user_sector_id</t>
  </si>
  <si>
    <t>user_category_id</t>
  </si>
  <si>
    <t>phone_number</t>
  </si>
  <si>
    <t>user_image</t>
  </si>
  <si>
    <t>$2a$10$DxZCmiRkfG.KSrAEmI.cLO8QgG6wYn.KyrfmjbJI/esedltQmVQD.</t>
  </si>
  <si>
    <t>$2a$10$XdHJK/3IzXQEZ4FRAZ04ZO95CWGoczLd8j/jJxgIN84K/ssPakMC6</t>
  </si>
  <si>
    <t>$2a$10$NB0Y4kOSBhl0qIGFDyKqMOg5dZwyQTlAuvf8yY6308s5nqUJ5Vfom</t>
  </si>
  <si>
    <t>$2a$10$wGHvixDYdzvJxYe7dzi7f.2PAAsCsgKsdE0dyVmyaY42JnQccnx.e</t>
  </si>
  <si>
    <t>$2a$10$.7yEl9xQR0OvPZ/SzzYeDuzxIMkOtC3uc4/TBKPWy1VQSULNKz3Xa</t>
  </si>
  <si>
    <t>$2a$10$XdQGR3lmCQReNfkyhgzhkuFaZx78QWcmSHcBMoRqWHpbFaKf/zPA2</t>
  </si>
  <si>
    <t>$2a$10$A47fGBVWwMuxNIImH2q4Tugcq3s9czWya5RTZnpP6xfYrOy7Cfeci</t>
  </si>
  <si>
    <t>$2a$10$jb2u3KhFstbxMJnZ/2m4Q.U3ijWYtsUYZwplWesxG3NQAbTt5PUs6</t>
  </si>
  <si>
    <t>$2a$10$BPUf9ZehJsvVZNdS37sYdeXvU0NE0GPkjusAHjYqq00JJse3HkpXS</t>
  </si>
  <si>
    <t>company1@gmail.com</t>
  </si>
  <si>
    <t>company2@gmail.com</t>
  </si>
  <si>
    <t>company3@gmail.com</t>
  </si>
  <si>
    <t>company4@gmail.com</t>
  </si>
  <si>
    <t>company5@gmail.com</t>
  </si>
  <si>
    <t>company6@gmail.com</t>
  </si>
  <si>
    <t>company1</t>
  </si>
  <si>
    <t>company2</t>
  </si>
  <si>
    <t>company3</t>
  </si>
  <si>
    <t>company4</t>
  </si>
  <si>
    <t>company5</t>
  </si>
  <si>
    <t>company6</t>
  </si>
  <si>
    <t>adm1</t>
  </si>
  <si>
    <t>adm2</t>
  </si>
  <si>
    <t>adm3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</si>
</sst>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3" fillId="0" borderId="1" xfId="2" applyNumberFormat="1" applyBorder="1" applyAlignment="1">
      <alignment horizontal="center"/>
    </xf>
    <xf numFmtId="0" fontId="0" fillId="0" borderId="1" xfId="1" applyNumberFormat="1" applyFont="1" applyFill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dm3@gmail.com" TargetMode="External"/><Relationship Id="rId2" Type="http://schemas.openxmlformats.org/officeDocument/2006/relationships/hyperlink" Target="mailto:adm2@gmail.com" TargetMode="External"/><Relationship Id="rId1" Type="http://schemas.openxmlformats.org/officeDocument/2006/relationships/hyperlink" Target="mailto:adm1@gmail.com" TargetMode="External"/><Relationship Id="rId4" Type="http://schemas.openxmlformats.org/officeDocument/2006/relationships/hyperlink" Target="mailto:adm4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2"/>
  <sheetViews>
    <sheetView showGridLines="0" workbookViewId="0"/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4" width="14.453125" customWidth="1"/>
    <col min="5" max="5" width="20.453125" bestFit="1" customWidth="1"/>
    <col min="6" max="7" width="15.453125" customWidth="1"/>
    <col min="8" max="8" width="13" bestFit="1" customWidth="1"/>
    <col min="9" max="9" width="25.36328125" customWidth="1"/>
    <col min="10" max="11" width="14.453125" customWidth="1"/>
  </cols>
  <sheetData>
    <row r="1" spans="1:12" x14ac:dyDescent="0.35">
      <c r="A1" s="2" t="s">
        <v>0</v>
      </c>
      <c r="B1" s="2" t="s">
        <v>1</v>
      </c>
      <c r="C1" s="2" t="s">
        <v>16</v>
      </c>
      <c r="D1" s="2" t="s">
        <v>5</v>
      </c>
      <c r="E1" s="2" t="s">
        <v>4</v>
      </c>
      <c r="F1" s="2" t="s">
        <v>2</v>
      </c>
      <c r="G1" s="2" t="s">
        <v>8</v>
      </c>
      <c r="H1" s="2" t="s">
        <v>3</v>
      </c>
      <c r="I1" s="2" t="s">
        <v>10</v>
      </c>
      <c r="J1" s="2" t="s">
        <v>9</v>
      </c>
      <c r="K1" s="2" t="s">
        <v>11</v>
      </c>
      <c r="L1" s="2" t="s">
        <v>48</v>
      </c>
    </row>
    <row r="2" spans="1:12" x14ac:dyDescent="0.35">
      <c r="A2" s="1">
        <v>1</v>
      </c>
      <c r="B2" s="3" t="str">
        <f>+"Company"&amp;A2</f>
        <v>Company1</v>
      </c>
      <c r="C2" s="1">
        <v>111111</v>
      </c>
      <c r="D2" s="9" t="s">
        <v>6</v>
      </c>
      <c r="E2" s="9" t="str">
        <f>+"company"&amp;A2&amp;"@gmail.com"</f>
        <v>company1@gmail.com</v>
      </c>
      <c r="F2" s="1" t="str">
        <f>+"calle "&amp;A2&amp;" nro "&amp;A2</f>
        <v>calle 1 nro 1</v>
      </c>
      <c r="G2" s="1" t="str">
        <f>+"Ciudad "&amp;A2</f>
        <v>Ciudad 1</v>
      </c>
      <c r="H2" s="8">
        <v>11111111</v>
      </c>
      <c r="I2" s="9" t="s">
        <v>27</v>
      </c>
      <c r="J2" s="11" t="s">
        <v>40</v>
      </c>
      <c r="K2" s="9" t="s">
        <v>12</v>
      </c>
      <c r="L2" s="9" t="s">
        <v>35</v>
      </c>
    </row>
    <row r="3" spans="1:12" x14ac:dyDescent="0.35">
      <c r="A3" s="1">
        <v>2</v>
      </c>
      <c r="B3" s="3" t="str">
        <f t="shared" ref="B3:B5" si="0">+"Company"&amp;A3</f>
        <v>Company2</v>
      </c>
      <c r="C3" s="1">
        <v>222222</v>
      </c>
      <c r="D3" s="9" t="s">
        <v>6</v>
      </c>
      <c r="E3" s="9" t="str">
        <f t="shared" ref="E3:E5" si="1">+"company"&amp;A3&amp;"@gmail.com"</f>
        <v>company2@gmail.com</v>
      </c>
      <c r="F3" s="1" t="str">
        <f t="shared" ref="F3:F9" si="2">+"calle "&amp;A3&amp;" nro "&amp;A3</f>
        <v>calle 2 nro 2</v>
      </c>
      <c r="G3" s="1" t="str">
        <f t="shared" ref="G3:G9" si="3">+"Ciudad "&amp;A3</f>
        <v>Ciudad 2</v>
      </c>
      <c r="H3" s="8">
        <f>+H2*2</f>
        <v>22222222</v>
      </c>
      <c r="I3" s="9" t="s">
        <v>28</v>
      </c>
      <c r="J3" s="11" t="s">
        <v>41</v>
      </c>
      <c r="K3" s="9" t="s">
        <v>12</v>
      </c>
      <c r="L3" s="9" t="s">
        <v>36</v>
      </c>
    </row>
    <row r="4" spans="1:12" x14ac:dyDescent="0.35">
      <c r="A4" s="1">
        <v>3</v>
      </c>
      <c r="B4" s="3" t="str">
        <f t="shared" si="0"/>
        <v>Company3</v>
      </c>
      <c r="C4" s="1">
        <v>333333</v>
      </c>
      <c r="D4" s="9" t="s">
        <v>6</v>
      </c>
      <c r="E4" s="9" t="str">
        <f t="shared" si="1"/>
        <v>company3@gmail.com</v>
      </c>
      <c r="F4" s="1" t="str">
        <f t="shared" si="2"/>
        <v>calle 3 nro 3</v>
      </c>
      <c r="G4" s="1" t="str">
        <f t="shared" si="3"/>
        <v>Ciudad 3</v>
      </c>
      <c r="H4" s="8">
        <f>+H2*3</f>
        <v>33333333</v>
      </c>
      <c r="I4" s="9" t="s">
        <v>33</v>
      </c>
      <c r="J4" s="11" t="s">
        <v>42</v>
      </c>
      <c r="K4" s="9" t="s">
        <v>12</v>
      </c>
      <c r="L4" s="9" t="s">
        <v>37</v>
      </c>
    </row>
    <row r="5" spans="1:12" x14ac:dyDescent="0.35">
      <c r="A5" s="1">
        <v>4</v>
      </c>
      <c r="B5" s="3" t="str">
        <f t="shared" si="0"/>
        <v>Company4</v>
      </c>
      <c r="C5" s="1">
        <v>444444</v>
      </c>
      <c r="D5" s="9" t="s">
        <v>7</v>
      </c>
      <c r="E5" s="9" t="str">
        <f t="shared" si="1"/>
        <v>company4@gmail.com</v>
      </c>
      <c r="F5" s="1" t="str">
        <f t="shared" si="2"/>
        <v>calle 4 nro 4</v>
      </c>
      <c r="G5" s="1" t="str">
        <f t="shared" si="3"/>
        <v>Ciudad 4</v>
      </c>
      <c r="H5" s="8">
        <f>+H2*4</f>
        <v>44444444</v>
      </c>
      <c r="I5" s="9" t="s">
        <v>34</v>
      </c>
      <c r="J5" s="11" t="s">
        <v>43</v>
      </c>
      <c r="K5" s="9" t="s">
        <v>12</v>
      </c>
      <c r="L5" s="9" t="s">
        <v>38</v>
      </c>
    </row>
    <row r="6" spans="1:12" x14ac:dyDescent="0.35">
      <c r="A6" s="1">
        <v>5</v>
      </c>
      <c r="B6" s="3" t="s">
        <v>13</v>
      </c>
      <c r="C6" s="1">
        <v>555555</v>
      </c>
      <c r="D6" s="4" t="s">
        <v>17</v>
      </c>
      <c r="E6" s="10" t="s">
        <v>19</v>
      </c>
      <c r="F6" s="1" t="str">
        <f t="shared" si="2"/>
        <v>calle 5 nro 5</v>
      </c>
      <c r="G6" s="1" t="str">
        <f t="shared" si="3"/>
        <v>Ciudad 5</v>
      </c>
      <c r="H6" s="8">
        <f>+H2*5</f>
        <v>55555555</v>
      </c>
      <c r="I6" s="4" t="s">
        <v>29</v>
      </c>
      <c r="J6" s="11" t="s">
        <v>44</v>
      </c>
      <c r="K6" s="4" t="s">
        <v>18</v>
      </c>
      <c r="L6" s="9" t="s">
        <v>22</v>
      </c>
    </row>
    <row r="7" spans="1:12" x14ac:dyDescent="0.35">
      <c r="A7" s="1">
        <v>6</v>
      </c>
      <c r="B7" s="3" t="s">
        <v>14</v>
      </c>
      <c r="C7" s="1">
        <v>666666</v>
      </c>
      <c r="D7" s="4" t="s">
        <v>17</v>
      </c>
      <c r="E7" s="10" t="s">
        <v>20</v>
      </c>
      <c r="F7" s="1" t="str">
        <f t="shared" si="2"/>
        <v>calle 6 nro 6</v>
      </c>
      <c r="G7" s="1" t="str">
        <f t="shared" si="3"/>
        <v>Ciudad 6</v>
      </c>
      <c r="H7" s="8">
        <f>+H2*6</f>
        <v>66666666</v>
      </c>
      <c r="I7" s="4" t="s">
        <v>30</v>
      </c>
      <c r="J7" s="11" t="s">
        <v>45</v>
      </c>
      <c r="K7" s="4" t="s">
        <v>18</v>
      </c>
      <c r="L7" s="9" t="s">
        <v>23</v>
      </c>
    </row>
    <row r="8" spans="1:12" x14ac:dyDescent="0.35">
      <c r="A8" s="1">
        <v>7</v>
      </c>
      <c r="B8" s="3" t="s">
        <v>15</v>
      </c>
      <c r="C8" s="1">
        <v>777777</v>
      </c>
      <c r="D8" s="4" t="s">
        <v>17</v>
      </c>
      <c r="E8" s="10" t="s">
        <v>21</v>
      </c>
      <c r="F8" s="1" t="str">
        <f t="shared" si="2"/>
        <v>calle 7 nro 7</v>
      </c>
      <c r="G8" s="1" t="str">
        <f t="shared" si="3"/>
        <v>Ciudad 7</v>
      </c>
      <c r="H8" s="8">
        <f>+H2*7</f>
        <v>77777777</v>
      </c>
      <c r="I8" s="4" t="s">
        <v>31</v>
      </c>
      <c r="J8" s="11" t="s">
        <v>46</v>
      </c>
      <c r="K8" s="4" t="s">
        <v>18</v>
      </c>
      <c r="L8" s="9" t="s">
        <v>24</v>
      </c>
    </row>
    <row r="9" spans="1:12" x14ac:dyDescent="0.35">
      <c r="A9" s="1">
        <v>8</v>
      </c>
      <c r="B9" s="3" t="s">
        <v>25</v>
      </c>
      <c r="C9" s="1">
        <v>888888</v>
      </c>
      <c r="D9" s="4" t="s">
        <v>17</v>
      </c>
      <c r="E9" s="10" t="s">
        <v>26</v>
      </c>
      <c r="F9" s="1" t="str">
        <f t="shared" si="2"/>
        <v>calle 8 nro 8</v>
      </c>
      <c r="G9" s="1" t="str">
        <f t="shared" si="3"/>
        <v>Ciudad 8</v>
      </c>
      <c r="H9" s="5">
        <f>+H2*8</f>
        <v>88888888</v>
      </c>
      <c r="I9" s="4" t="s">
        <v>32</v>
      </c>
      <c r="J9" s="11" t="s">
        <v>47</v>
      </c>
      <c r="K9" s="4" t="s">
        <v>18</v>
      </c>
      <c r="L9" s="4" t="s">
        <v>39</v>
      </c>
    </row>
    <row r="10" spans="1:12" x14ac:dyDescent="0.35">
      <c r="A10" s="1"/>
      <c r="B10" s="3"/>
      <c r="C10" s="1"/>
      <c r="D10" s="4"/>
      <c r="E10" s="4"/>
      <c r="F10" s="1"/>
      <c r="G10" s="1"/>
      <c r="H10" s="5"/>
      <c r="I10" s="4"/>
      <c r="J10" s="4"/>
      <c r="K10" s="4"/>
    </row>
    <row r="11" spans="1:12" x14ac:dyDescent="0.35">
      <c r="A11" s="1"/>
      <c r="B11" s="1"/>
      <c r="C11" s="1"/>
      <c r="D11" s="4"/>
      <c r="E11" s="1"/>
      <c r="F11" s="1"/>
      <c r="G11" s="1"/>
      <c r="H11" s="5"/>
      <c r="I11" s="4"/>
      <c r="J11" s="4"/>
      <c r="K11" s="4"/>
    </row>
    <row r="12" spans="1:12" x14ac:dyDescent="0.35">
      <c r="A12" s="1"/>
      <c r="B12" s="1"/>
      <c r="C12" s="1"/>
      <c r="D12" s="4"/>
      <c r="E12" s="1"/>
      <c r="F12" s="1"/>
      <c r="G12" s="1"/>
      <c r="H12" s="5"/>
      <c r="I12" s="4"/>
      <c r="J12" s="4"/>
      <c r="K12" s="4"/>
    </row>
  </sheetData>
  <hyperlinks>
    <hyperlink ref="E6" r:id="rId1"/>
    <hyperlink ref="E7" r:id="rId2"/>
    <hyperlink ref="E8" r:id="rId3"/>
    <hyperlink ref="E9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9"/>
  <sheetViews>
    <sheetView workbookViewId="0">
      <selection activeCell="A13" sqref="A13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49</v>
      </c>
    </row>
    <row r="3" spans="1:1" x14ac:dyDescent="0.35">
      <c r="A3" t="s">
        <v>50</v>
      </c>
    </row>
    <row r="4" spans="1:1" x14ac:dyDescent="0.35">
      <c r="A4" t="s">
        <v>51</v>
      </c>
    </row>
    <row r="5" spans="1:1" x14ac:dyDescent="0.35">
      <c r="A5" t="s">
        <v>52</v>
      </c>
    </row>
    <row r="6" spans="1:1" x14ac:dyDescent="0.35">
      <c r="A6" t="s">
        <v>53</v>
      </c>
    </row>
    <row r="7" spans="1:1" x14ac:dyDescent="0.35">
      <c r="A7" t="s">
        <v>54</v>
      </c>
    </row>
    <row r="8" spans="1:1" x14ac:dyDescent="0.35">
      <c r="A8" t="s">
        <v>55</v>
      </c>
    </row>
    <row r="9" spans="1:1" x14ac:dyDescent="0.35">
      <c r="A9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L36"/>
  <sheetViews>
    <sheetView tabSelected="1" topLeftCell="A12" zoomScale="80" zoomScaleNormal="80" workbookViewId="0">
      <selection activeCell="A16" sqref="A16"/>
    </sheetView>
  </sheetViews>
  <sheetFormatPr baseColWidth="10" defaultRowHeight="14.5" x14ac:dyDescent="0.35"/>
  <cols>
    <col min="1" max="1" width="17.54296875" customWidth="1"/>
    <col min="6" max="6" width="50" customWidth="1"/>
    <col min="7" max="7" width="15.6328125" bestFit="1" customWidth="1"/>
  </cols>
  <sheetData>
    <row r="2" spans="1:12" x14ac:dyDescent="0.35">
      <c r="A2" s="12" t="s">
        <v>57</v>
      </c>
    </row>
    <row r="3" spans="1:12" x14ac:dyDescent="0.35">
      <c r="A3" s="12" t="s">
        <v>58</v>
      </c>
    </row>
    <row r="4" spans="1:12" x14ac:dyDescent="0.35">
      <c r="A4" s="12" t="s">
        <v>59</v>
      </c>
    </row>
    <row r="5" spans="1:12" x14ac:dyDescent="0.35">
      <c r="A5" s="12" t="s">
        <v>60</v>
      </c>
    </row>
    <row r="6" spans="1:12" x14ac:dyDescent="0.35">
      <c r="A6" s="12" t="s">
        <v>61</v>
      </c>
    </row>
    <row r="7" spans="1:12" x14ac:dyDescent="0.35">
      <c r="A7" s="12" t="s">
        <v>62</v>
      </c>
    </row>
    <row r="8" spans="1:12" x14ac:dyDescent="0.35">
      <c r="A8" s="12" t="s">
        <v>63</v>
      </c>
    </row>
    <row r="9" spans="1:12" x14ac:dyDescent="0.35">
      <c r="A9" s="12" t="s">
        <v>64</v>
      </c>
    </row>
    <row r="10" spans="1:12" x14ac:dyDescent="0.35">
      <c r="A10" s="12" t="s">
        <v>65</v>
      </c>
    </row>
    <row r="11" spans="1:12" x14ac:dyDescent="0.35">
      <c r="A11" s="12" t="s">
        <v>66</v>
      </c>
    </row>
    <row r="12" spans="1:12" x14ac:dyDescent="0.35">
      <c r="A12" s="12" t="s">
        <v>67</v>
      </c>
    </row>
    <row r="15" spans="1:12" x14ac:dyDescent="0.35">
      <c r="A15" s="13" t="s">
        <v>9</v>
      </c>
      <c r="B15" s="13" t="s">
        <v>71</v>
      </c>
      <c r="C15" s="13" t="s">
        <v>72</v>
      </c>
      <c r="D15" s="13" t="s">
        <v>73</v>
      </c>
      <c r="E15" s="13" t="s">
        <v>74</v>
      </c>
      <c r="F15" s="13" t="s">
        <v>4</v>
      </c>
      <c r="G15" s="13" t="s">
        <v>2</v>
      </c>
      <c r="H15" s="13" t="s">
        <v>68</v>
      </c>
      <c r="I15" s="13" t="s">
        <v>75</v>
      </c>
      <c r="J15" s="13" t="s">
        <v>76</v>
      </c>
      <c r="K15" s="13" t="s">
        <v>9</v>
      </c>
      <c r="L15" t="str">
        <f>+"("&amp;B15&amp;","&amp;C15&amp;","&amp;D15&amp;","&amp;E15&amp;","&amp;F15&amp;","&amp;G15&amp;","&amp;H15&amp;","&amp;I15&amp;","&amp;J15&amp;","&amp;K15&amp;")"</f>
        <v>(user_name,cuit_cuil,user_sector_id,user_category_id,email,address,city ,phone_number,user_image,password)</v>
      </c>
    </row>
    <row r="16" spans="1:12" x14ac:dyDescent="0.35">
      <c r="A16" t="s">
        <v>35</v>
      </c>
      <c r="B16" t="s">
        <v>92</v>
      </c>
      <c r="C16">
        <v>11111111</v>
      </c>
      <c r="D16" s="14">
        <v>1</v>
      </c>
      <c r="E16" s="14">
        <v>2</v>
      </c>
      <c r="F16" t="s">
        <v>86</v>
      </c>
      <c r="G16" t="str">
        <f>+"adress "&amp;B16</f>
        <v>adress company1</v>
      </c>
      <c r="H16" t="str">
        <f>+"city "&amp;B16</f>
        <v>city company1</v>
      </c>
      <c r="I16">
        <v>1111111111</v>
      </c>
      <c r="J16" t="str">
        <f>+B16&amp;".jpg"</f>
        <v>company1.jpg</v>
      </c>
      <c r="K16" t="s">
        <v>77</v>
      </c>
      <c r="L16" t="str">
        <f>+"INSERT INTO sio2.users "&amp;$L$15&amp;" VALUES('"&amp;B16&amp;"',"&amp;C16&amp;","&amp;D16&amp;","&amp;E16&amp;",'"&amp;F16&amp;"','"&amp;G16&amp;"','"&amp;H16&amp;"',"&amp;I16&amp;",'"&amp;J16&amp;"','"&amp;K16&amp;"');"</f>
        <v>INSERT INTO sio2.users (user_name,cuit_cuil,user_sector_id,user_category_id,email,address,city ,phone_number,user_image,password) VALUES('company1',11111111,1,2,'company1@gmail.com','adress company1','city company1',1111111111,'company1.jpg','$2a$10$DxZCmiRkfG.KSrAEmI.cLO8QgG6wYn.KyrfmjbJI/esedltQmVQD.');</v>
      </c>
    </row>
    <row r="17" spans="1:12" x14ac:dyDescent="0.35">
      <c r="A17" t="s">
        <v>36</v>
      </c>
      <c r="B17" t="s">
        <v>93</v>
      </c>
      <c r="C17">
        <v>22222222</v>
      </c>
      <c r="D17" s="14">
        <v>2</v>
      </c>
      <c r="E17" s="14">
        <v>2</v>
      </c>
      <c r="F17" t="s">
        <v>87</v>
      </c>
      <c r="G17" t="str">
        <f t="shared" ref="G17:G24" si="0">+"adress "&amp;B17</f>
        <v>adress company2</v>
      </c>
      <c r="H17" t="str">
        <f t="shared" ref="H17:H24" si="1">+"city "&amp;B17</f>
        <v>city company2</v>
      </c>
      <c r="I17">
        <v>1122222222</v>
      </c>
      <c r="J17" t="str">
        <f t="shared" ref="J17:J24" si="2">+B17&amp;".jpg"</f>
        <v>company2.jpg</v>
      </c>
      <c r="K17" t="s">
        <v>78</v>
      </c>
      <c r="L17" t="str">
        <f t="shared" ref="L17:L24" si="3">+"INSERT INTO sio2.users "&amp;$L$15&amp;" VALUES('"&amp;B17&amp;"',"&amp;C17&amp;","&amp;D17&amp;","&amp;E17&amp;",'"&amp;F17&amp;"','"&amp;G17&amp;"','"&amp;H17&amp;"',"&amp;I17&amp;",'"&amp;J17&amp;"','"&amp;K17&amp;"');"</f>
        <v>INSERT INTO sio2.users (user_name,cuit_cuil,user_sector_id,user_category_id,email,address,city ,phone_number,user_image,password) VALUES('company2',22222222,2,2,'company2@gmail.com','adress company2','city company2',1122222222,'company2.jpg','$2a$10$XdHJK/3IzXQEZ4FRAZ04ZO95CWGoczLd8j/jJxgIN84K/ssPakMC6');</v>
      </c>
    </row>
    <row r="18" spans="1:12" x14ac:dyDescent="0.35">
      <c r="A18" t="s">
        <v>37</v>
      </c>
      <c r="B18" t="s">
        <v>94</v>
      </c>
      <c r="C18">
        <v>33333333</v>
      </c>
      <c r="D18" s="14">
        <v>3</v>
      </c>
      <c r="E18" s="14">
        <v>2</v>
      </c>
      <c r="F18" t="s">
        <v>88</v>
      </c>
      <c r="G18" t="str">
        <f t="shared" si="0"/>
        <v>adress company3</v>
      </c>
      <c r="H18" t="str">
        <f t="shared" si="1"/>
        <v>city company3</v>
      </c>
      <c r="I18" t="str">
        <f>11&amp;C18</f>
        <v>1133333333</v>
      </c>
      <c r="J18" t="str">
        <f t="shared" si="2"/>
        <v>company3.jpg</v>
      </c>
      <c r="K18" t="s">
        <v>79</v>
      </c>
      <c r="L18" t="str">
        <f t="shared" si="3"/>
        <v>INSERT INTO sio2.users (user_name,cuit_cuil,user_sector_id,user_category_id,email,address,city ,phone_number,user_image,password) VALUES('company3',33333333,3,2,'company3@gmail.com','adress company3','city company3',1133333333,'company3.jpg','$2a$10$NB0Y4kOSBhl0qIGFDyKqMOg5dZwyQTlAuvf8yY6308s5nqUJ5Vfom');</v>
      </c>
    </row>
    <row r="19" spans="1:12" x14ac:dyDescent="0.35">
      <c r="A19" t="s">
        <v>38</v>
      </c>
      <c r="B19" t="s">
        <v>95</v>
      </c>
      <c r="C19">
        <v>44444444</v>
      </c>
      <c r="D19" s="14">
        <v>4</v>
      </c>
      <c r="E19" s="14">
        <v>2</v>
      </c>
      <c r="F19" t="s">
        <v>89</v>
      </c>
      <c r="G19" t="str">
        <f t="shared" si="0"/>
        <v>adress company4</v>
      </c>
      <c r="H19" t="str">
        <f t="shared" si="1"/>
        <v>city company4</v>
      </c>
      <c r="I19" t="str">
        <f t="shared" ref="I19:I24" si="4">11&amp;C19</f>
        <v>1144444444</v>
      </c>
      <c r="J19" t="str">
        <f t="shared" si="2"/>
        <v>company4.jpg</v>
      </c>
      <c r="K19" t="s">
        <v>80</v>
      </c>
      <c r="L19" t="str">
        <f t="shared" si="3"/>
        <v>INSERT INTO sio2.users (user_name,cuit_cuil,user_sector_id,user_category_id,email,address,city ,phone_number,user_image,password) VALUES('company4',44444444,4,2,'company4@gmail.com','adress company4','city company4',1144444444,'company4.jpg','$2a$10$wGHvixDYdzvJxYe7dzi7f.2PAAsCsgKsdE0dyVmyaY42JnQccnx.e');</v>
      </c>
    </row>
    <row r="20" spans="1:12" x14ac:dyDescent="0.35">
      <c r="A20" t="s">
        <v>69</v>
      </c>
      <c r="B20" t="s">
        <v>96</v>
      </c>
      <c r="C20">
        <v>55555555</v>
      </c>
      <c r="D20" s="14">
        <v>5</v>
      </c>
      <c r="E20" s="14">
        <v>2</v>
      </c>
      <c r="F20" t="s">
        <v>90</v>
      </c>
      <c r="G20" t="str">
        <f t="shared" si="0"/>
        <v>adress company5</v>
      </c>
      <c r="H20" t="str">
        <f t="shared" si="1"/>
        <v>city company5</v>
      </c>
      <c r="I20" t="str">
        <f t="shared" si="4"/>
        <v>1155555555</v>
      </c>
      <c r="J20" t="str">
        <f t="shared" si="2"/>
        <v>company5.jpg</v>
      </c>
      <c r="K20" t="s">
        <v>81</v>
      </c>
      <c r="L20" t="str">
        <f t="shared" si="3"/>
        <v>INSERT INTO sio2.users (user_name,cuit_cuil,user_sector_id,user_category_id,email,address,city ,phone_number,user_image,password) VALUES('company5',55555555,5,2,'company5@gmail.com','adress company5','city company5',1155555555,'company5.jpg','$2a$10$.7yEl9xQR0OvPZ/SzzYeDuzxIMkOtC3uc4/TBKPWy1VQSULNKz3Xa');</v>
      </c>
    </row>
    <row r="21" spans="1:12" x14ac:dyDescent="0.35">
      <c r="A21" t="s">
        <v>70</v>
      </c>
      <c r="B21" t="s">
        <v>97</v>
      </c>
      <c r="C21">
        <v>66666666</v>
      </c>
      <c r="D21" s="14">
        <v>2</v>
      </c>
      <c r="E21" s="14">
        <v>2</v>
      </c>
      <c r="F21" t="s">
        <v>91</v>
      </c>
      <c r="G21" t="str">
        <f t="shared" si="0"/>
        <v>adress company6</v>
      </c>
      <c r="H21" t="str">
        <f t="shared" si="1"/>
        <v>city company6</v>
      </c>
      <c r="I21" t="str">
        <f t="shared" si="4"/>
        <v>1166666666</v>
      </c>
      <c r="J21" t="str">
        <f t="shared" si="2"/>
        <v>company6.jpg</v>
      </c>
      <c r="K21" t="s">
        <v>82</v>
      </c>
      <c r="L21" t="str">
        <f t="shared" si="3"/>
        <v>INSERT INTO sio2.users (user_name,cuit_cuil,user_sector_id,user_category_id,email,address,city ,phone_number,user_image,password) VALUES('company6',66666666,2,2,'company6@gmail.com','adress company6','city company6',1166666666,'company6.jpg','$2a$10$XdQGR3lmCQReNfkyhgzhkuFaZx78QWcmSHcBMoRqWHpbFaKf/zPA2');</v>
      </c>
    </row>
    <row r="22" spans="1:12" x14ac:dyDescent="0.35">
      <c r="A22" t="s">
        <v>22</v>
      </c>
      <c r="B22" t="s">
        <v>98</v>
      </c>
      <c r="C22">
        <v>11111111</v>
      </c>
      <c r="D22" s="14">
        <v>5</v>
      </c>
      <c r="E22" s="14">
        <v>1</v>
      </c>
      <c r="F22" t="s">
        <v>19</v>
      </c>
      <c r="G22" t="str">
        <f t="shared" si="0"/>
        <v>adress adm1</v>
      </c>
      <c r="H22" t="str">
        <f t="shared" si="1"/>
        <v>city adm1</v>
      </c>
      <c r="I22" t="str">
        <f t="shared" si="4"/>
        <v>1111111111</v>
      </c>
      <c r="J22" t="str">
        <f t="shared" si="2"/>
        <v>adm1.jpg</v>
      </c>
      <c r="K22" t="s">
        <v>83</v>
      </c>
      <c r="L22" t="str">
        <f t="shared" si="3"/>
        <v>INSERT INTO sio2.users (user_name,cuit_cuil,user_sector_id,user_category_id,email,address,city ,phone_number,user_image,password) VALUES('adm1',11111111,5,1,'adm1@gmail.com','adress adm1','city adm1',1111111111,'adm1.jpg','$2a$10$A47fGBVWwMuxNIImH2q4Tugcq3s9czWya5RTZnpP6xfYrOy7Cfeci');</v>
      </c>
    </row>
    <row r="23" spans="1:12" x14ac:dyDescent="0.35">
      <c r="A23" t="s">
        <v>23</v>
      </c>
      <c r="B23" t="s">
        <v>99</v>
      </c>
      <c r="C23">
        <v>22222222</v>
      </c>
      <c r="D23" s="14">
        <v>5</v>
      </c>
      <c r="E23" s="14">
        <v>1</v>
      </c>
      <c r="F23" t="s">
        <v>20</v>
      </c>
      <c r="G23" t="str">
        <f t="shared" si="0"/>
        <v>adress adm2</v>
      </c>
      <c r="H23" t="str">
        <f t="shared" si="1"/>
        <v>city adm2</v>
      </c>
      <c r="I23" t="str">
        <f t="shared" si="4"/>
        <v>1122222222</v>
      </c>
      <c r="J23" t="str">
        <f t="shared" si="2"/>
        <v>adm2.jpg</v>
      </c>
      <c r="K23" t="s">
        <v>84</v>
      </c>
      <c r="L23" t="str">
        <f t="shared" si="3"/>
        <v>INSERT INTO sio2.users (user_name,cuit_cuil,user_sector_id,user_category_id,email,address,city ,phone_number,user_image,password) VALUES('adm2',22222222,5,1,'adm2@gmail.com','adress adm2','city adm2',1122222222,'adm2.jpg','$2a$10$jb2u3KhFstbxMJnZ/2m4Q.U3ijWYtsUYZwplWesxG3NQAbTt5PUs6');</v>
      </c>
    </row>
    <row r="24" spans="1:12" x14ac:dyDescent="0.35">
      <c r="A24" t="s">
        <v>24</v>
      </c>
      <c r="B24" t="s">
        <v>100</v>
      </c>
      <c r="C24">
        <v>33333333</v>
      </c>
      <c r="D24" s="14">
        <v>5</v>
      </c>
      <c r="E24" s="14">
        <v>1</v>
      </c>
      <c r="F24" t="s">
        <v>21</v>
      </c>
      <c r="G24" t="str">
        <f t="shared" si="0"/>
        <v>adress adm3</v>
      </c>
      <c r="H24" t="str">
        <f t="shared" si="1"/>
        <v>city adm3</v>
      </c>
      <c r="I24" t="str">
        <f t="shared" si="4"/>
        <v>1133333333</v>
      </c>
      <c r="J24" t="str">
        <f t="shared" si="2"/>
        <v>adm3.jpg</v>
      </c>
      <c r="K24" t="s">
        <v>85</v>
      </c>
      <c r="L24" t="str">
        <f t="shared" si="3"/>
        <v>INSERT INTO sio2.users (user_name,cuit_cuil,user_sector_id,user_category_id,email,address,city ,phone_number,user_image,password) VALUES('adm3',33333333,5,1,'adm3@gmail.com','adress adm3','city adm3',1133333333,'adm3.jpg','$2a$10$BPUf9ZehJsvVZNdS37sYdeXvU0NE0GPkjusAHjYqq00JJse3HkpXS');</v>
      </c>
    </row>
    <row r="28" spans="1:12" x14ac:dyDescent="0.35">
      <c r="I28" t="s">
        <v>35</v>
      </c>
      <c r="J28" t="str">
        <f>+"'"&amp;I28&amp;"'"</f>
        <v>'pswcompany1'</v>
      </c>
    </row>
    <row r="29" spans="1:12" x14ac:dyDescent="0.35">
      <c r="I29" t="s">
        <v>36</v>
      </c>
      <c r="J29" t="str">
        <f>+J28&amp;",'"&amp;I29&amp;"'"</f>
        <v>'pswcompany1','pswcompany2'</v>
      </c>
    </row>
    <row r="30" spans="1:12" x14ac:dyDescent="0.35">
      <c r="I30" t="s">
        <v>37</v>
      </c>
      <c r="J30" t="str">
        <f t="shared" ref="J30:J36" si="5">+J29&amp;",'"&amp;I30&amp;"'"</f>
        <v>'pswcompany1','pswcompany2','pswcompany3'</v>
      </c>
    </row>
    <row r="31" spans="1:12" x14ac:dyDescent="0.35">
      <c r="I31" t="s">
        <v>38</v>
      </c>
      <c r="J31" t="str">
        <f t="shared" si="5"/>
        <v>'pswcompany1','pswcompany2','pswcompany3','pswcompany4'</v>
      </c>
    </row>
    <row r="32" spans="1:12" x14ac:dyDescent="0.35">
      <c r="I32" t="s">
        <v>69</v>
      </c>
      <c r="J32" t="str">
        <f t="shared" si="5"/>
        <v>'pswcompany1','pswcompany2','pswcompany3','pswcompany4','pswcompany5'</v>
      </c>
    </row>
    <row r="33" spans="9:10" x14ac:dyDescent="0.35">
      <c r="I33" t="s">
        <v>70</v>
      </c>
      <c r="J33" t="str">
        <f t="shared" si="5"/>
        <v>'pswcompany1','pswcompany2','pswcompany3','pswcompany4','pswcompany5','pswcompany6'</v>
      </c>
    </row>
    <row r="34" spans="9:10" x14ac:dyDescent="0.35">
      <c r="I34" t="s">
        <v>22</v>
      </c>
      <c r="J34" t="str">
        <f t="shared" si="5"/>
        <v>'pswcompany1','pswcompany2','pswcompany3','pswcompany4','pswcompany5','pswcompany6','pswadm1'</v>
      </c>
    </row>
    <row r="35" spans="9:10" x14ac:dyDescent="0.35">
      <c r="I35" t="s">
        <v>23</v>
      </c>
      <c r="J35" t="str">
        <f t="shared" si="5"/>
        <v>'pswcompany1','pswcompany2','pswcompany3','pswcompany4','pswcompany5','pswcompany6','pswadm1','pswadm2'</v>
      </c>
    </row>
    <row r="36" spans="9:10" x14ac:dyDescent="0.35">
      <c r="I36" t="s">
        <v>24</v>
      </c>
      <c r="J36" t="str">
        <f t="shared" si="5"/>
        <v>'pswcompany1','pswcompany2','pswcompany3','pswcompany4','pswcompany5','pswcompany6','pswadm1','pswadm2','pswadm3'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JSON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2023-01-12T01:45:24Z</dcterms:modified>
</cp:coreProperties>
</file>