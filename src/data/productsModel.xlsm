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activeTab="2"/>
  </bookViews>
  <sheets>
    <sheet name="Datos" sheetId="1" r:id="rId1"/>
    <sheet name="Hoja1" sheetId="3" r:id="rId2"/>
    <sheet name="Hoja2" sheetId="4" r:id="rId3"/>
    <sheet name="JSON" sheetId="2" r:id="rId4"/>
  </sheets>
  <externalReferences>
    <externalReference r:id="rId5"/>
  </externalReferences>
  <definedNames>
    <definedName name="_xlnm._FilterDatabase" localSheetId="2" hidden="1">Hoja2!$A$2:$D$89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9" i="4" l="1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I10" i="3" l="1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I11" i="3"/>
  <c r="I24" i="3" l="1"/>
  <c r="I19" i="3"/>
  <c r="I12" i="3"/>
  <c r="I20" i="3"/>
  <c r="I17" i="3"/>
  <c r="I18" i="3"/>
  <c r="I13" i="3"/>
  <c r="I21" i="3"/>
  <c r="I14" i="3"/>
  <c r="I22" i="3"/>
  <c r="I25" i="3"/>
  <c r="I15" i="3"/>
  <c r="I23" i="3"/>
  <c r="I16" i="3"/>
  <c r="D16" i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<sst xmlns="http://schemas.openxmlformats.org/spreadsheetml/2006/main" count="420" uniqueCount="213">
  <si>
    <t>1639HT</t>
  </si>
  <si>
    <t>14801HT</t>
  </si>
  <si>
    <t>14806HT</t>
  </si>
  <si>
    <t>14810HT</t>
  </si>
  <si>
    <t>description</t>
  </si>
  <si>
    <t>category</t>
  </si>
  <si>
    <t>discount</t>
  </si>
  <si>
    <t>price</t>
  </si>
  <si>
    <t>image</t>
  </si>
  <si>
    <t>Stock</t>
  </si>
  <si>
    <t>copas</t>
  </si>
  <si>
    <t>vasos</t>
  </si>
  <si>
    <t>tazas</t>
  </si>
  <si>
    <t>item</t>
  </si>
  <si>
    <t>{"item":"1639HT","description":"Restaurant Basics - Vaso Mixing Glass 473 ml","category":"vasos","price":1280.16,"discount":0,"stock":1000,"image":"1639HT.jpg"},</t>
  </si>
  <si>
    <t>{"item":"3808","description":"Belgian Beer - Copa cerveza 473 ml","category":"copas","price":1310.64,"discount":0.1,"stock":2000,"image":"3808.jpg"},</t>
  </si>
  <si>
    <t>{"item":"5292","description":"Irish Coffee Recto 251 ml","category":"tazas","price":1374.14,"discount":0,"stock":3000,"image":"5292.jpg"},</t>
  </si>
  <si>
    <t>{"item":"5293","description":"Irish Coffee Cónico 244 ml","category":"tazas","price":1059.18,"discount":0,"stock":0,"image":"5293.jpg"},</t>
  </si>
  <si>
    <t>{"item":"7504","description":"Vina - Copa Vino Alta 547 ml","category":"copas","price":1470.66,"discount":0,"stock":400,"image":"7504.jpg"},</t>
  </si>
  <si>
    <t>{"item":"9322","description":"MR Prism -  Copa vino 384 ml","category":"copas","price":2750.82,"discount":0,"stock":380,"image":"9322.jpg"},</t>
  </si>
  <si>
    <t>{"item":"9324","description":"MR Prism -  Copa vino 562 ml","category":"copas","price":2837.18,"discount":0.1,"stock":250,"image":"9324.jpg"},</t>
  </si>
  <si>
    <t>{"item":"9332","description":"MR Prism - Copa Champagne 237 ml","category":"copas","price":2694.94,"discount":0,"stock":960,"image":"9332.jpg"},</t>
  </si>
  <si>
    <t>{"item":"14801HT","description":"English Pub Glass 592 ml","category":"vasos","price":1026.16,"discount":0.2,"stock":0,"image":"14801HT.jpg"},</t>
  </si>
  <si>
    <t>{"item":"14806HT","description":"English Pub Glass 473 ml","category":"vasos","price":1003.3,"discount":0.3,"stock":400,"image":"14806HT.jpg"},</t>
  </si>
  <si>
    <t>{"item":"14810HT","description":"English Pub Glass 296 ml","category":"vasos","price":955.04,"discount":0.35,"stock":380,"image":"14810HT.jpg"},</t>
  </si>
  <si>
    <t>{"item":"440539","description":"L Esprit  Du Vin Copa de cata 220 ml.","category":"copas","price":1231.9,"discount":0,"stock":250,"image":"440539.jpg"},</t>
  </si>
  <si>
    <t>{"item":"540628","description":"L Esprit  Du Vin Copa Vino 410 ml.","category":"copas","price":1214.12,"discount":0,"stock":960,"image":"540628.jpg"},</t>
  </si>
  <si>
    <t>{"item":"540673","description":"L Esprit  Du Vin Copa Flauta 210 ml.","category":"copas","price":1231.9,"discount":0,"stock":0,"image":"540673.jpg"},</t>
  </si>
  <si>
    <t>{"item":"541625","description":"L Esprit  Du Vin Copa Vino  530 ml.","category":"copas","price":1214.12,"discount":0,"stock":250,"image":"541625.jpg"},</t>
  </si>
  <si>
    <t>productId</t>
  </si>
  <si>
    <t>productName</t>
  </si>
  <si>
    <t>productDescription</t>
  </si>
  <si>
    <t>productCategoryId</t>
  </si>
  <si>
    <t>stock</t>
  </si>
  <si>
    <t>productImage</t>
  </si>
  <si>
    <t>1411.20</t>
  </si>
  <si>
    <t>1444.80</t>
  </si>
  <si>
    <t>1514.80</t>
  </si>
  <si>
    <t>1167.60</t>
  </si>
  <si>
    <t>1621.20</t>
  </si>
  <si>
    <t>3032.40</t>
  </si>
  <si>
    <t>3278.80</t>
  </si>
  <si>
    <t>2970.80</t>
  </si>
  <si>
    <t>1131.20</t>
  </si>
  <si>
    <t>1106.00</t>
  </si>
  <si>
    <t>1052.80</t>
  </si>
  <si>
    <t>1358.00</t>
  </si>
  <si>
    <t>1338.40</t>
  </si>
  <si>
    <t>Vajilla</t>
  </si>
  <si>
    <t>Tazas</t>
  </si>
  <si>
    <t>Vasos</t>
  </si>
  <si>
    <t>Copas</t>
  </si>
  <si>
    <t>Chops</t>
  </si>
  <si>
    <t>Item</t>
  </si>
  <si>
    <t>Decsripcion</t>
  </si>
  <si>
    <t>Precio</t>
  </si>
  <si>
    <t>Categoría</t>
  </si>
  <si>
    <t>City - Tarro Cafetero 473 ml.</t>
  </si>
  <si>
    <t>Tarro Cafetero 399 ml.</t>
  </si>
  <si>
    <t>Glass Can - Vaso Lata 473 ml</t>
  </si>
  <si>
    <t>Stemless - Vaso Vino  503 ml</t>
  </si>
  <si>
    <t>Swerve - Botella refresco con tapa 565 ml</t>
  </si>
  <si>
    <t>Swerve - Botella refresco con tapa 651 ml</t>
  </si>
  <si>
    <t>Tempo - Plato Cuadrado 20,3 cms</t>
  </si>
  <si>
    <t>Tempo - Bowl Cuadrado 14 cms</t>
  </si>
  <si>
    <t>Tempo - Fuente Rectangular 24 x 13 cms</t>
  </si>
  <si>
    <t>Tempo - Taza Café 300 ml</t>
  </si>
  <si>
    <t>Decantador para copa 296 ml</t>
  </si>
  <si>
    <t>Contempo - Juego de vajilla 20 piezas</t>
  </si>
  <si>
    <t>Pilsner - Vaso 473 ml</t>
  </si>
  <si>
    <t>Restaurant Basics - Vaso Mixing Glass 473 ml</t>
  </si>
  <si>
    <t>Craft Brews - Vaso IPA 473 ml</t>
  </si>
  <si>
    <t>Soda - Copa Milk Shake 355 ml</t>
  </si>
  <si>
    <t>Perception - Copa de Cerveza 414 ml</t>
  </si>
  <si>
    <t>Perception - Copa de Agua 414 ml</t>
  </si>
  <si>
    <t>Perception - Copa de Vino 325 ml</t>
  </si>
  <si>
    <t>Perception - Copa Vino Alta 591 ml</t>
  </si>
  <si>
    <t>Perception - Copa Champagne Flauta 170 ml</t>
  </si>
  <si>
    <t>Camelot - Hielera 1,5 lts..</t>
  </si>
  <si>
    <t>Selene - Bowl para Snacks 29,3 cms.</t>
  </si>
  <si>
    <t>Mexico - Jarra 1,78 lts.</t>
  </si>
  <si>
    <t>Belgian Beer - Copa cerveza 384 ml</t>
  </si>
  <si>
    <t>Belgian Beer - Copa cerveza 473 ml</t>
  </si>
  <si>
    <t>Acapulco - Jarra 0,25 lts.</t>
  </si>
  <si>
    <t>Acapulco - Jarra 1 lts.</t>
  </si>
  <si>
    <t>Atlantis - Jarra 2,20 lts.</t>
  </si>
  <si>
    <t>Mexico - Jarra 1 lts..</t>
  </si>
  <si>
    <t>Acapulco - Jarra 3,6 lts.</t>
  </si>
  <si>
    <t>Irish coffee 244 ml</t>
  </si>
  <si>
    <t>Jarro de café 142 ml</t>
  </si>
  <si>
    <t>Frankfurt Mug 621 ml</t>
  </si>
  <si>
    <t>Irish Coffee Recto 251 ml</t>
  </si>
  <si>
    <t>Irish Coffee Cónico 244 ml</t>
  </si>
  <si>
    <t>Scandinavia Mug 444 ml</t>
  </si>
  <si>
    <t>Tempo - Ensaladera Cuadrada 22,8 cms</t>
  </si>
  <si>
    <t>Tulip Sundae - Copa 155 ml</t>
  </si>
  <si>
    <t>Tempo - Bowl Rectangular 31 x 15 cms.</t>
  </si>
  <si>
    <t>Selene - Bowl para ensalada</t>
  </si>
  <si>
    <t>Selene - Decantador de Vino 2 lts.</t>
  </si>
  <si>
    <t>Chopp Cerveza Panelado 475 ml</t>
  </si>
  <si>
    <t>Super Chopp Cerveza 1 lts.</t>
  </si>
  <si>
    <t>Jarro de café 251 ml</t>
  </si>
  <si>
    <t>Chopp Cerveza 375 ml</t>
  </si>
  <si>
    <t>Eva - Plato Postre</t>
  </si>
  <si>
    <t>Eva - Plato Bowl 594 ml</t>
  </si>
  <si>
    <t>Vaso cervecero IPA 615 ml</t>
  </si>
  <si>
    <t>Vinagregra con tapa de vidrio 177 ml</t>
  </si>
  <si>
    <t>Vina - Copa Champagne Flauta 237 ml</t>
  </si>
  <si>
    <t>Vina - Copa Vino Alta 547 ml</t>
  </si>
  <si>
    <t>Vina - Copa Martini 296 ml</t>
  </si>
  <si>
    <t>Plato de torta con pie 31cm</t>
  </si>
  <si>
    <t>Selene - Juego 3 Piezas de Bandejas con pie</t>
  </si>
  <si>
    <t>Domo Pastelero con Base 19 cms</t>
  </si>
  <si>
    <t>Tempo - Juego Ensaladeras 5 Piezas</t>
  </si>
  <si>
    <t>MR Rennaissance - Vaso vino Stemless 562 ml</t>
  </si>
  <si>
    <t>MR Rennaissance - Copa vino 591 ml</t>
  </si>
  <si>
    <t>MR Rennaissance - Copa Champagne 327 ml</t>
  </si>
  <si>
    <t>MR Prism -  Copa vino 384 ml</t>
  </si>
  <si>
    <t>MR Prism - Copa Champagne 237 ml</t>
  </si>
  <si>
    <t>English Pub Glass 296 ml</t>
  </si>
  <si>
    <t>Gibraltar - Vaso  Rocks 296 ml</t>
  </si>
  <si>
    <t>Gibraltar - Vaso Cooler 355 ml</t>
  </si>
  <si>
    <t>Gibraltar - Vaso Beverage 355 ml</t>
  </si>
  <si>
    <t>Gibraltar - Vaso Beverage 414 ml</t>
  </si>
  <si>
    <t>Endeavor - Vaso Beverage 414 ml</t>
  </si>
  <si>
    <t>Endeavor - Vaso Espresso 110 ml</t>
  </si>
  <si>
    <t>Nob Hill - Double Old Fashioned 362 ml</t>
  </si>
  <si>
    <t>Herritage - Botella 222 ml</t>
  </si>
  <si>
    <t>Vineyard Reserve  - Set 8 vasos Stemless</t>
  </si>
  <si>
    <t>Farmhouse - Jarra de infusión con canilla 7 lts.</t>
  </si>
  <si>
    <t>Allure Copa Vino Alta 530 ml.</t>
  </si>
  <si>
    <t xml:space="preserve">Cocktails - Copa Gin Tonic 650ml </t>
  </si>
  <si>
    <t>Proportions Wine - Set 2 Copas de Vino 730 ml.</t>
  </si>
  <si>
    <t>L Esprit  Du Vin Copa Flauta 210 ml.</t>
  </si>
  <si>
    <t>L Esprit  Du Vin Copa Vino  530 ml.</t>
  </si>
  <si>
    <t>Copa cocktail 320 ml.</t>
  </si>
  <si>
    <t>Maxim - Chopp 620 ml.</t>
  </si>
  <si>
    <t>Acapulco - Taza de café 180 ml.</t>
  </si>
  <si>
    <t>Carats - Vaso de Whisky  355 ml.</t>
  </si>
  <si>
    <t>Carats - Vaso Berverage 410 ml.</t>
  </si>
  <si>
    <t>Carats - Jarra Mixing Glass 750 ml.</t>
  </si>
  <si>
    <t>Acapulco - Café expresso 80 ml.</t>
  </si>
  <si>
    <t>Decantadores</t>
  </si>
  <si>
    <t>Jarras</t>
  </si>
  <si>
    <t>Botellas</t>
  </si>
  <si>
    <t>Botella 1 lts.</t>
  </si>
  <si>
    <t>Botella 0,5 lts.</t>
  </si>
  <si>
    <t>1304.8</t>
  </si>
  <si>
    <t>898.8</t>
  </si>
  <si>
    <t>1240.4</t>
  </si>
  <si>
    <t>2461.2</t>
  </si>
  <si>
    <t>2399.6</t>
  </si>
  <si>
    <t>1237.6</t>
  </si>
  <si>
    <t>1094.8</t>
  </si>
  <si>
    <t>1402.8</t>
  </si>
  <si>
    <t>20193.6</t>
  </si>
  <si>
    <t>1369.2</t>
  </si>
  <si>
    <t>1411.2</t>
  </si>
  <si>
    <t>1352.4</t>
  </si>
  <si>
    <t>1248.8</t>
  </si>
  <si>
    <t>1251.6</t>
  </si>
  <si>
    <t>1215.2</t>
  </si>
  <si>
    <t>7747.6</t>
  </si>
  <si>
    <t>3203.2</t>
  </si>
  <si>
    <t>1444.8</t>
  </si>
  <si>
    <t>2727.2</t>
  </si>
  <si>
    <t>1663.2</t>
  </si>
  <si>
    <t>3847.2</t>
  </si>
  <si>
    <t>5062.4</t>
  </si>
  <si>
    <t>2466.8</t>
  </si>
  <si>
    <t>7596.4</t>
  </si>
  <si>
    <t>848.4</t>
  </si>
  <si>
    <t>2637.6</t>
  </si>
  <si>
    <t>1268.4</t>
  </si>
  <si>
    <t>1514.8</t>
  </si>
  <si>
    <t>1167.6</t>
  </si>
  <si>
    <t>4768.4</t>
  </si>
  <si>
    <t>1640.8</t>
  </si>
  <si>
    <t>4827.2</t>
  </si>
  <si>
    <t>7890.4</t>
  </si>
  <si>
    <t>1660.4</t>
  </si>
  <si>
    <t>1783.6</t>
  </si>
  <si>
    <t>1150.8</t>
  </si>
  <si>
    <t>1360.8</t>
  </si>
  <si>
    <t>1593.2</t>
  </si>
  <si>
    <t>772.8</t>
  </si>
  <si>
    <t>1408.4</t>
  </si>
  <si>
    <t>1562.4</t>
  </si>
  <si>
    <t>1621.2</t>
  </si>
  <si>
    <t>1831.2</t>
  </si>
  <si>
    <t>9251.2</t>
  </si>
  <si>
    <t>27994.4</t>
  </si>
  <si>
    <t>2119.6</t>
  </si>
  <si>
    <t>2718.8</t>
  </si>
  <si>
    <t>2629.2</t>
  </si>
  <si>
    <t>3032.4</t>
  </si>
  <si>
    <t>2970.8</t>
  </si>
  <si>
    <t>1052.8</t>
  </si>
  <si>
    <t>921.2</t>
  </si>
  <si>
    <t>862.4</t>
  </si>
  <si>
    <t>960.4</t>
  </si>
  <si>
    <t>1254.4</t>
  </si>
  <si>
    <t>1296.4</t>
  </si>
  <si>
    <t>13434.4</t>
  </si>
  <si>
    <t>7089.6</t>
  </si>
  <si>
    <t>4177.6</t>
  </si>
  <si>
    <t>1338.4</t>
  </si>
  <si>
    <t>2354.8</t>
  </si>
  <si>
    <t>1744.4</t>
  </si>
  <si>
    <t>1128.4</t>
  </si>
  <si>
    <t>1178.8</t>
  </si>
  <si>
    <t>1332.8</t>
  </si>
  <si>
    <t>674.8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</si>
</sst>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_ * #,##0_ ;_ * \-#,##0_ ;_ * &quot;-&quot;??_ ;_ @_ "/>
    <numFmt numFmtId="165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  <xf numFmtId="0" fontId="0" fillId="0" borderId="1" xfId="0" applyBorder="1"/>
    <xf numFmtId="164" fontId="0" fillId="0" borderId="1" xfId="1" applyNumberFormat="1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2" fontId="5" fillId="4" borderId="1" xfId="2" applyNumberFormat="1" applyFont="1" applyFill="1" applyBorder="1" applyAlignment="1">
      <alignment horizontal="center" vertical="center"/>
    </xf>
    <xf numFmtId="2" fontId="5" fillId="4" borderId="3" xfId="2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0" xfId="0" applyAlignment="1"/>
    <xf numFmtId="0" fontId="0" fillId="0" borderId="0" xfId="0" applyAlignment="1">
      <alignment horizontal="center"/>
    </xf>
  </cellXfs>
  <cellStyles count="3">
    <cellStyle name="Millares" xfId="1" builtinId="3"/>
    <cellStyle name="Millares 8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/>
      <sheetData sheetId="1"/>
      <sheetData sheetId="2">
        <row r="7">
          <cell r="B7">
            <v>16</v>
          </cell>
          <cell r="C7" t="str">
            <v>Beer Sampler - Pilsner  177 ml</v>
          </cell>
          <cell r="D7">
            <v>904.4</v>
          </cell>
        </row>
        <row r="8">
          <cell r="B8">
            <v>75</v>
          </cell>
          <cell r="C8" t="str">
            <v>City - Tarro Cafetero 473 ml.</v>
          </cell>
          <cell r="D8">
            <v>1330</v>
          </cell>
        </row>
        <row r="9">
          <cell r="B9">
            <v>76</v>
          </cell>
          <cell r="C9" t="str">
            <v>Tarro Cafetero 399 ml.</v>
          </cell>
          <cell r="D9">
            <v>1304.8</v>
          </cell>
        </row>
        <row r="10">
          <cell r="B10">
            <v>102</v>
          </cell>
          <cell r="C10" t="str">
            <v>Camelot - Vaso Cooler 468 ml</v>
          </cell>
          <cell r="D10">
            <v>666.4</v>
          </cell>
        </row>
        <row r="11">
          <cell r="B11">
            <v>103</v>
          </cell>
          <cell r="C11" t="str">
            <v>Camelot - Vaso HB 369 ml</v>
          </cell>
          <cell r="D11">
            <v>604.80000000000007</v>
          </cell>
        </row>
        <row r="12">
          <cell r="B12">
            <v>105</v>
          </cell>
          <cell r="C12" t="str">
            <v>Cavana - Vaso HB 414 ml</v>
          </cell>
          <cell r="D12">
            <v>571.20000000000005</v>
          </cell>
        </row>
        <row r="13">
          <cell r="B13">
            <v>128</v>
          </cell>
          <cell r="C13" t="str">
            <v>Heavy Base - Vaso Whisky 266 ml</v>
          </cell>
          <cell r="D13">
            <v>882</v>
          </cell>
        </row>
        <row r="14">
          <cell r="B14">
            <v>165</v>
          </cell>
          <cell r="C14" t="str">
            <v>Vaso Agua 98 ml</v>
          </cell>
          <cell r="D14">
            <v>257.60000000000002</v>
          </cell>
        </row>
        <row r="15">
          <cell r="B15">
            <v>181</v>
          </cell>
          <cell r="C15" t="str">
            <v>New York - Vaso HB 400 ml</v>
          </cell>
          <cell r="D15">
            <v>590.79999999999995</v>
          </cell>
        </row>
        <row r="16">
          <cell r="B16">
            <v>209</v>
          </cell>
          <cell r="C16" t="str">
            <v>Glass Can - Vaso Lata 473 ml</v>
          </cell>
          <cell r="D16">
            <v>898.8</v>
          </cell>
        </row>
        <row r="17">
          <cell r="B17">
            <v>217</v>
          </cell>
          <cell r="C17" t="str">
            <v>Stemless - Vaso Vino 348 ml</v>
          </cell>
          <cell r="D17">
            <v>1204</v>
          </cell>
        </row>
        <row r="18">
          <cell r="B18">
            <v>221</v>
          </cell>
          <cell r="C18" t="str">
            <v>Stemless - Vaso Vino  503 ml</v>
          </cell>
          <cell r="D18">
            <v>1240.3999999999999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1794.8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1794.8</v>
          </cell>
        </row>
        <row r="21">
          <cell r="B21">
            <v>222</v>
          </cell>
          <cell r="C21" t="str">
            <v>Stemless - Vaso Vino tinto 495 ml</v>
          </cell>
          <cell r="D21">
            <v>1240.3999999999999</v>
          </cell>
        </row>
        <row r="22">
          <cell r="B22">
            <v>224</v>
          </cell>
          <cell r="C22" t="str">
            <v>Stemless - Vaso Martini 399 ml</v>
          </cell>
          <cell r="D22">
            <v>1293.6000000000001</v>
          </cell>
        </row>
        <row r="23">
          <cell r="B23">
            <v>228</v>
          </cell>
          <cell r="C23" t="str">
            <v>Stemless - Vaso Flauta Champagne 251 ml</v>
          </cell>
          <cell r="D23">
            <v>1170.3999999999999</v>
          </cell>
        </row>
        <row r="24">
          <cell r="B24">
            <v>231</v>
          </cell>
          <cell r="C24" t="str">
            <v>Stemless - Vaso Vino Fondo Grueso 451 ml</v>
          </cell>
          <cell r="D24">
            <v>1327.2</v>
          </cell>
        </row>
        <row r="25">
          <cell r="B25">
            <v>245</v>
          </cell>
          <cell r="C25" t="str">
            <v>Beer Sampler - Mini Pilsner 74 ml</v>
          </cell>
          <cell r="D25">
            <v>753.19999999999993</v>
          </cell>
        </row>
        <row r="26">
          <cell r="B26">
            <v>260</v>
          </cell>
          <cell r="C26" t="str">
            <v>Stemless - Vaso Taster 185 ml</v>
          </cell>
          <cell r="D26">
            <v>982.8</v>
          </cell>
        </row>
        <row r="27">
          <cell r="B27">
            <v>265</v>
          </cell>
          <cell r="C27" t="str">
            <v>Glass Can - Sampler 148 ml</v>
          </cell>
          <cell r="D27">
            <v>588</v>
          </cell>
        </row>
        <row r="28">
          <cell r="B28">
            <v>280</v>
          </cell>
          <cell r="C28" t="str">
            <v>Mini bowl 155 ml</v>
          </cell>
          <cell r="D28">
            <v>742</v>
          </cell>
        </row>
        <row r="29">
          <cell r="B29">
            <v>526</v>
          </cell>
          <cell r="C29" t="str">
            <v>Pinnacle - Vaso Cerveza 414 ml</v>
          </cell>
          <cell r="D29">
            <v>1344</v>
          </cell>
        </row>
        <row r="30">
          <cell r="B30">
            <v>527</v>
          </cell>
          <cell r="C30" t="str">
            <v>Pinnacle - Vaso Cerveza 474 ml</v>
          </cell>
          <cell r="D30">
            <v>1363.6000000000001</v>
          </cell>
        </row>
        <row r="31">
          <cell r="B31">
            <v>701</v>
          </cell>
          <cell r="C31" t="str">
            <v>Swerve - Botella refresco con tapa 565 ml</v>
          </cell>
          <cell r="D31">
            <v>2461.1999999999998</v>
          </cell>
        </row>
        <row r="32">
          <cell r="B32">
            <v>728</v>
          </cell>
          <cell r="C32" t="str">
            <v>Swerve - Botella refresco con tapa 651 ml</v>
          </cell>
          <cell r="D32">
            <v>2399.6</v>
          </cell>
        </row>
        <row r="33">
          <cell r="B33">
            <v>759</v>
          </cell>
          <cell r="C33" t="str">
            <v>Tempo - Plato Cuadrado 26 cms</v>
          </cell>
          <cell r="D33">
            <v>1901.2</v>
          </cell>
        </row>
        <row r="34">
          <cell r="B34">
            <v>760</v>
          </cell>
          <cell r="C34" t="str">
            <v>Tempo - Plato Cuadrado 20,3 cms</v>
          </cell>
          <cell r="D34">
            <v>1237.5999999999999</v>
          </cell>
        </row>
        <row r="35">
          <cell r="B35">
            <v>761</v>
          </cell>
          <cell r="C35" t="str">
            <v>Tempo - Bowl Cuadrado 14 cms</v>
          </cell>
          <cell r="D35">
            <v>1260</v>
          </cell>
        </row>
        <row r="36">
          <cell r="B36">
            <v>762</v>
          </cell>
          <cell r="C36" t="str">
            <v>Tempo - Bowl Cuadrado 10,7 cms</v>
          </cell>
          <cell r="D36">
            <v>1080.8</v>
          </cell>
        </row>
        <row r="37">
          <cell r="B37">
            <v>763</v>
          </cell>
          <cell r="C37" t="str">
            <v>Tempo - Plato Cuadrado 15,2 cms</v>
          </cell>
          <cell r="D37">
            <v>1044.4000000000001</v>
          </cell>
        </row>
        <row r="38">
          <cell r="B38">
            <v>764</v>
          </cell>
          <cell r="C38" t="str">
            <v>Tempo - Plato Cuadrado 22,8 cms</v>
          </cell>
          <cell r="D38">
            <v>1517.6</v>
          </cell>
        </row>
        <row r="39">
          <cell r="B39">
            <v>769</v>
          </cell>
          <cell r="C39" t="str">
            <v>Tempo - Fuente Rectangular 24 x 13 cms</v>
          </cell>
          <cell r="D39">
            <v>1792</v>
          </cell>
        </row>
        <row r="40">
          <cell r="B40">
            <v>770</v>
          </cell>
          <cell r="C40" t="str">
            <v>Tempo - Taza Café 300 ml</v>
          </cell>
          <cell r="D40">
            <v>1094.8</v>
          </cell>
        </row>
        <row r="41">
          <cell r="B41">
            <v>771</v>
          </cell>
          <cell r="C41" t="str">
            <v>Tempo - Mini Bowl Rectangular 261 ml</v>
          </cell>
          <cell r="D41">
            <v>926.8</v>
          </cell>
        </row>
        <row r="42">
          <cell r="B42">
            <v>782</v>
          </cell>
          <cell r="C42" t="str">
            <v>Decantador para copa 296 ml</v>
          </cell>
          <cell r="D42">
            <v>1402.8</v>
          </cell>
        </row>
        <row r="43">
          <cell r="B43">
            <v>902</v>
          </cell>
          <cell r="C43" t="str">
            <v>Cenicero Triangular 8,6 cms</v>
          </cell>
          <cell r="D43">
            <v>408.8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252</v>
          </cell>
        </row>
        <row r="45">
          <cell r="B45">
            <v>971</v>
          </cell>
          <cell r="C45" t="str">
            <v>Tequilero - Shot 31 ml</v>
          </cell>
          <cell r="D45">
            <v>229.6</v>
          </cell>
        </row>
        <row r="46">
          <cell r="B46">
            <v>972</v>
          </cell>
          <cell r="C46" t="str">
            <v>Tequilero - Shot 41 ml</v>
          </cell>
          <cell r="D46">
            <v>280</v>
          </cell>
        </row>
        <row r="47">
          <cell r="B47">
            <v>973</v>
          </cell>
          <cell r="C47" t="str">
            <v>Tequilero - Shot 59 ml</v>
          </cell>
          <cell r="D47">
            <v>336</v>
          </cell>
        </row>
        <row r="48">
          <cell r="B48">
            <v>1377</v>
          </cell>
          <cell r="C48" t="str">
            <v>Contempo - Juego de vajilla 20 piezas</v>
          </cell>
          <cell r="D48">
            <v>20193.600000000002</v>
          </cell>
        </row>
        <row r="49">
          <cell r="B49">
            <v>1604</v>
          </cell>
          <cell r="C49" t="str">
            <v>Pilsner - Vaso 473 ml</v>
          </cell>
          <cell r="D49">
            <v>1369.1999999999998</v>
          </cell>
        </row>
        <row r="50">
          <cell r="B50">
            <v>1623</v>
          </cell>
          <cell r="C50" t="str">
            <v>Giant Beer - Vaso Cerveza 680 ml</v>
          </cell>
          <cell r="D50">
            <v>1738.8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1411.2</v>
          </cell>
        </row>
        <row r="52">
          <cell r="B52">
            <v>1647</v>
          </cell>
          <cell r="C52" t="str">
            <v>Craft Brews - Vaso IPA 473 ml</v>
          </cell>
          <cell r="D52">
            <v>1352.4</v>
          </cell>
        </row>
        <row r="53">
          <cell r="B53">
            <v>1650</v>
          </cell>
          <cell r="C53" t="str">
            <v>Chicago - Vaso Cordial 74 ml</v>
          </cell>
          <cell r="D53">
            <v>770</v>
          </cell>
        </row>
        <row r="54">
          <cell r="B54">
            <v>2212</v>
          </cell>
          <cell r="C54" t="str">
            <v>Soda - Copa Milk Shake 355 ml</v>
          </cell>
          <cell r="D54">
            <v>1268.4000000000001</v>
          </cell>
        </row>
        <row r="55">
          <cell r="B55">
            <v>2247</v>
          </cell>
          <cell r="C55" t="str">
            <v>Chabela - Copa Postre 630 ml</v>
          </cell>
          <cell r="D55">
            <v>2601.1999999999998</v>
          </cell>
        </row>
        <row r="56">
          <cell r="B56">
            <v>2251</v>
          </cell>
          <cell r="C56" t="str">
            <v>Copa Brandy Extra Grande 7,5 lts..</v>
          </cell>
          <cell r="D56">
            <v>9186.8000000000011</v>
          </cell>
        </row>
        <row r="57">
          <cell r="B57">
            <v>2261</v>
          </cell>
          <cell r="C57" t="str">
            <v>Suprema - Copa Postre Cuadrada 610 ml</v>
          </cell>
          <cell r="D57">
            <v>2508.8000000000002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1083.6000000000001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1086.3999999999999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1089.2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1122.8</v>
          </cell>
        </row>
        <row r="62">
          <cell r="B62">
            <v>2315</v>
          </cell>
          <cell r="C62" t="str">
            <v>Copón Margarita Grande 2,05 lts..</v>
          </cell>
          <cell r="D62">
            <v>8500.7999999999993</v>
          </cell>
        </row>
        <row r="63">
          <cell r="B63">
            <v>2391</v>
          </cell>
          <cell r="C63" t="str">
            <v>Perception - Vaso Rocks 207 ml</v>
          </cell>
          <cell r="D63">
            <v>831.6</v>
          </cell>
        </row>
        <row r="64">
          <cell r="B64">
            <v>2643</v>
          </cell>
          <cell r="C64" t="str">
            <v>Copón Martini 1,48 lts.</v>
          </cell>
          <cell r="D64">
            <v>8428</v>
          </cell>
        </row>
        <row r="65">
          <cell r="B65">
            <v>3010</v>
          </cell>
          <cell r="C65" t="str">
            <v>Perception - Copa de Cerveza 414 ml</v>
          </cell>
          <cell r="D65">
            <v>1248.8</v>
          </cell>
        </row>
        <row r="66">
          <cell r="B66">
            <v>3011</v>
          </cell>
          <cell r="C66" t="str">
            <v>Perception - Copa de Agua 414 ml</v>
          </cell>
          <cell r="D66">
            <v>1288</v>
          </cell>
        </row>
        <row r="67">
          <cell r="B67">
            <v>3057</v>
          </cell>
          <cell r="C67" t="str">
            <v>Perception - Copa de Vino 325 ml</v>
          </cell>
          <cell r="D67">
            <v>1251.5999999999999</v>
          </cell>
        </row>
        <row r="68">
          <cell r="B68">
            <v>3060</v>
          </cell>
          <cell r="C68" t="str">
            <v>Perception - Copa Vino Alta 591 ml</v>
          </cell>
          <cell r="D68">
            <v>1369.1999999999998</v>
          </cell>
        </row>
        <row r="69">
          <cell r="B69">
            <v>3065</v>
          </cell>
          <cell r="C69" t="str">
            <v>Perception - Copa de Vino 237 ml</v>
          </cell>
          <cell r="D69">
            <v>1209.6000000000001</v>
          </cell>
        </row>
        <row r="70">
          <cell r="B70">
            <v>3096</v>
          </cell>
          <cell r="C70" t="str">
            <v>Perception - Copa Champagne Flauta 170 ml</v>
          </cell>
          <cell r="D70">
            <v>1215.2</v>
          </cell>
        </row>
        <row r="71">
          <cell r="B71">
            <v>3419</v>
          </cell>
          <cell r="C71" t="str">
            <v>Splash - Copa Postre 355 ml</v>
          </cell>
          <cell r="D71">
            <v>1663.2</v>
          </cell>
        </row>
        <row r="72">
          <cell r="B72">
            <v>3603</v>
          </cell>
          <cell r="C72" t="str">
            <v>Camelot - Hielera 1,5 lts..</v>
          </cell>
          <cell r="D72">
            <v>2730</v>
          </cell>
        </row>
        <row r="73">
          <cell r="B73">
            <v>3616</v>
          </cell>
          <cell r="C73" t="str">
            <v>Hurricane - Copa Squall 444 ml</v>
          </cell>
          <cell r="D73">
            <v>1682.8</v>
          </cell>
        </row>
        <row r="74">
          <cell r="B74">
            <v>3623</v>
          </cell>
          <cell r="C74" t="str">
            <v>Hurricane - Copa Hurricane 696 ml</v>
          </cell>
          <cell r="D74">
            <v>1831.2</v>
          </cell>
        </row>
        <row r="75">
          <cell r="B75">
            <v>3692</v>
          </cell>
          <cell r="C75" t="str">
            <v>Selene - Bowl para Snacks 29,3 cms.</v>
          </cell>
          <cell r="D75">
            <v>7747.6</v>
          </cell>
        </row>
        <row r="76">
          <cell r="B76">
            <v>3701</v>
          </cell>
          <cell r="C76" t="str">
            <v>Embassy -  Copa Mini-Martini 89 ml</v>
          </cell>
          <cell r="D76">
            <v>1117.2</v>
          </cell>
        </row>
        <row r="77">
          <cell r="B77">
            <v>3705</v>
          </cell>
          <cell r="C77" t="str">
            <v>Embassy - Copa Cognac 340 ml</v>
          </cell>
          <cell r="D77">
            <v>1173.2</v>
          </cell>
        </row>
        <row r="78">
          <cell r="B78">
            <v>3708</v>
          </cell>
          <cell r="C78" t="str">
            <v>Embassy - Copa Cognac 518 ml</v>
          </cell>
          <cell r="D78">
            <v>1187.2</v>
          </cell>
        </row>
        <row r="79">
          <cell r="B79">
            <v>3709</v>
          </cell>
          <cell r="C79" t="str">
            <v>Embassy - Copa Cognac 651 ml</v>
          </cell>
          <cell r="D79">
            <v>1355.2</v>
          </cell>
        </row>
        <row r="80">
          <cell r="B80">
            <v>3717</v>
          </cell>
          <cell r="C80" t="str">
            <v>Embassy Royale - Copa Poco Grande 392 ml</v>
          </cell>
          <cell r="D80">
            <v>1400</v>
          </cell>
        </row>
        <row r="81">
          <cell r="B81">
            <v>3722</v>
          </cell>
          <cell r="C81" t="str">
            <v>Smoothie - Copa Licuado 473 ml</v>
          </cell>
          <cell r="D81">
            <v>1831.2</v>
          </cell>
        </row>
        <row r="82">
          <cell r="B82">
            <v>3725</v>
          </cell>
          <cell r="C82" t="str">
            <v>Embassy - Copa Cerveza 355 ml</v>
          </cell>
          <cell r="D82">
            <v>1148</v>
          </cell>
        </row>
        <row r="83">
          <cell r="B83">
            <v>3728</v>
          </cell>
          <cell r="C83" t="str">
            <v>Embassy - Copa Cerveza 355 ml</v>
          </cell>
          <cell r="D83">
            <v>1156.3999999999999</v>
          </cell>
        </row>
        <row r="84">
          <cell r="B84">
            <v>3775</v>
          </cell>
          <cell r="C84" t="str">
            <v>Embassy - Copa Whiskey Sour 133 ml</v>
          </cell>
          <cell r="D84">
            <v>1097.5999999999999</v>
          </cell>
        </row>
        <row r="85">
          <cell r="B85">
            <v>3779</v>
          </cell>
          <cell r="C85" t="str">
            <v>Embassy - Copa Martini 274 ml</v>
          </cell>
          <cell r="D85">
            <v>1330</v>
          </cell>
        </row>
        <row r="86">
          <cell r="B86">
            <v>3794</v>
          </cell>
          <cell r="C86" t="str">
            <v>Embassy - Copa Champagne Flauta 133 ml</v>
          </cell>
          <cell r="D86">
            <v>1134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1372</v>
          </cell>
        </row>
        <row r="88">
          <cell r="B88">
            <v>3800</v>
          </cell>
          <cell r="C88" t="str">
            <v>Mexico - Jarra 1,78 lts.</v>
          </cell>
          <cell r="D88">
            <v>3203.2</v>
          </cell>
        </row>
        <row r="89">
          <cell r="B89">
            <v>3801</v>
          </cell>
          <cell r="C89" t="str">
            <v>Embassy - Sorbet Degustación 81 ml</v>
          </cell>
          <cell r="D89">
            <v>1097.5999999999999</v>
          </cell>
        </row>
        <row r="90">
          <cell r="B90">
            <v>3804</v>
          </cell>
          <cell r="C90" t="str">
            <v>Embassy - Pilsner 473 ml</v>
          </cell>
          <cell r="D90">
            <v>1198.4000000000001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1402.8</v>
          </cell>
        </row>
        <row r="92">
          <cell r="B92">
            <v>3808</v>
          </cell>
          <cell r="C92" t="str">
            <v>Belgian Beer - Copa cerveza 473 ml</v>
          </cell>
          <cell r="D92">
            <v>1444.8</v>
          </cell>
        </row>
        <row r="93">
          <cell r="B93">
            <v>3811</v>
          </cell>
          <cell r="C93" t="str">
            <v>Acapulco - Jarra 0,25 lts.</v>
          </cell>
          <cell r="D93">
            <v>2727.2000000000003</v>
          </cell>
        </row>
        <row r="94">
          <cell r="B94">
            <v>3816</v>
          </cell>
          <cell r="C94" t="str">
            <v>Belgian Beer - Taster 148 ml</v>
          </cell>
          <cell r="D94">
            <v>1366.3999999999999</v>
          </cell>
        </row>
        <row r="95">
          <cell r="B95">
            <v>3823</v>
          </cell>
          <cell r="C95" t="str">
            <v>Catalina - Copa Cerveza Alta 414 ml</v>
          </cell>
          <cell r="D95">
            <v>1559.6000000000001</v>
          </cell>
        </row>
        <row r="96">
          <cell r="B96">
            <v>3825</v>
          </cell>
          <cell r="C96" t="str">
            <v>Catalina - Copa Postre Dessert 296 ml</v>
          </cell>
          <cell r="D96">
            <v>1352.4</v>
          </cell>
        </row>
        <row r="97">
          <cell r="B97" t="str">
            <v>3848M</v>
          </cell>
          <cell r="C97" t="str">
            <v>Jarro Frasco Liso 488 ml</v>
          </cell>
          <cell r="D97">
            <v>1198.4000000000001</v>
          </cell>
        </row>
        <row r="98">
          <cell r="B98">
            <v>3849</v>
          </cell>
          <cell r="C98" t="str">
            <v>Jarro Frasco Country 488 ml</v>
          </cell>
          <cell r="D98">
            <v>1198.4000000000001</v>
          </cell>
        </row>
        <row r="99">
          <cell r="B99">
            <v>3856</v>
          </cell>
          <cell r="C99" t="str">
            <v>Jarra Decantadora 1 lts.</v>
          </cell>
          <cell r="D99">
            <v>1663.2</v>
          </cell>
        </row>
        <row r="100">
          <cell r="B100">
            <v>3857</v>
          </cell>
          <cell r="C100" t="str">
            <v>Jarra Decantadora 0,5 lts.</v>
          </cell>
          <cell r="D100">
            <v>1274</v>
          </cell>
        </row>
        <row r="101">
          <cell r="B101">
            <v>3864</v>
          </cell>
          <cell r="C101" t="str">
            <v>Acapulco - Jarra 1 lts.</v>
          </cell>
          <cell r="D101">
            <v>3847.2000000000003</v>
          </cell>
        </row>
        <row r="102">
          <cell r="B102">
            <v>3882</v>
          </cell>
          <cell r="C102" t="str">
            <v>Atlantis - Jarra 2,20 lts.</v>
          </cell>
          <cell r="D102">
            <v>5062.3999999999996</v>
          </cell>
        </row>
        <row r="103">
          <cell r="B103">
            <v>3886</v>
          </cell>
          <cell r="C103" t="str">
            <v>Mexico - Jarra 1 lts..</v>
          </cell>
          <cell r="D103">
            <v>2466.8000000000002</v>
          </cell>
        </row>
        <row r="104">
          <cell r="B104">
            <v>3911</v>
          </cell>
          <cell r="C104" t="str">
            <v>Teardrop - Copa Agua 355 ml</v>
          </cell>
          <cell r="D104">
            <v>1097.5999999999999</v>
          </cell>
        </row>
        <row r="105">
          <cell r="B105">
            <v>3915</v>
          </cell>
          <cell r="C105" t="str">
            <v>Teardrop - Copa Cerveza 436 ml</v>
          </cell>
          <cell r="D105">
            <v>1181.5999999999999</v>
          </cell>
        </row>
        <row r="106">
          <cell r="B106">
            <v>3957</v>
          </cell>
          <cell r="C106" t="str">
            <v>Acapulco - Jarra 3,6 lts.</v>
          </cell>
          <cell r="D106">
            <v>7596.4</v>
          </cell>
        </row>
        <row r="107">
          <cell r="B107">
            <v>3965</v>
          </cell>
          <cell r="C107" t="str">
            <v>Teardrop - Copa Vino Blanco 252 ml</v>
          </cell>
          <cell r="D107">
            <v>1055.5999999999999</v>
          </cell>
        </row>
        <row r="108">
          <cell r="B108">
            <v>3988</v>
          </cell>
          <cell r="C108" t="str">
            <v>Teardrop - Copa Sherry 89 ml</v>
          </cell>
          <cell r="D108">
            <v>1069.5999999999999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1148</v>
          </cell>
        </row>
        <row r="110">
          <cell r="B110">
            <v>4036</v>
          </cell>
          <cell r="C110" t="str">
            <v>Brilliance - Copa Vino Diamond 430 ml</v>
          </cell>
          <cell r="D110">
            <v>1218</v>
          </cell>
        </row>
        <row r="111">
          <cell r="B111">
            <v>4037</v>
          </cell>
          <cell r="C111" t="str">
            <v>Brilliance - Copa Vino Diamond 550 ml</v>
          </cell>
          <cell r="D111">
            <v>1598.8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935.19999999999993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1153.6000000000001</v>
          </cell>
        </row>
        <row r="114">
          <cell r="B114">
            <v>4304</v>
          </cell>
          <cell r="C114" t="str">
            <v>Irish coffee 244 ml</v>
          </cell>
          <cell r="D114">
            <v>1106</v>
          </cell>
        </row>
        <row r="115">
          <cell r="B115">
            <v>4390</v>
          </cell>
          <cell r="C115" t="str">
            <v>Jarro de café 142 ml</v>
          </cell>
          <cell r="D115">
            <v>848.4</v>
          </cell>
        </row>
        <row r="116">
          <cell r="B116">
            <v>4808</v>
          </cell>
          <cell r="C116" t="str">
            <v>Pub Glass - Pinta 476 ml</v>
          </cell>
          <cell r="D116">
            <v>1005.1999999999999</v>
          </cell>
        </row>
        <row r="117">
          <cell r="B117">
            <v>5001</v>
          </cell>
          <cell r="C117" t="str">
            <v>Frankfurt Mug 621 ml</v>
          </cell>
          <cell r="D117">
            <v>2637.6</v>
          </cell>
        </row>
        <row r="118">
          <cell r="B118">
            <v>5110</v>
          </cell>
          <cell r="C118" t="str">
            <v>Soda - Copa Milk Shake 355 ml</v>
          </cell>
          <cell r="D118">
            <v>1268.4000000000001</v>
          </cell>
        </row>
        <row r="119">
          <cell r="B119">
            <v>5118</v>
          </cell>
          <cell r="C119" t="str">
            <v>Supreme - Copa 503 ml</v>
          </cell>
          <cell r="D119">
            <v>1447.6</v>
          </cell>
        </row>
        <row r="120">
          <cell r="B120">
            <v>5120</v>
          </cell>
          <cell r="C120" t="str">
            <v>Shooter - Vaso 44 ml</v>
          </cell>
          <cell r="D120">
            <v>632.79999999999995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1117.2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1341.2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613.19999999999993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674.80000000000007</v>
          </cell>
        </row>
        <row r="125">
          <cell r="B125">
            <v>5292</v>
          </cell>
          <cell r="C125" t="str">
            <v>Irish Coffee Recto 251 ml</v>
          </cell>
          <cell r="D125">
            <v>1514.8</v>
          </cell>
        </row>
        <row r="126">
          <cell r="B126">
            <v>5293</v>
          </cell>
          <cell r="C126" t="str">
            <v>Irish Coffee Cónico 244 ml</v>
          </cell>
          <cell r="D126">
            <v>1167.5999999999999</v>
          </cell>
        </row>
        <row r="127">
          <cell r="B127">
            <v>5298</v>
          </cell>
          <cell r="C127" t="str">
            <v>Scandinavia Mug 444 ml</v>
          </cell>
          <cell r="D127">
            <v>1960</v>
          </cell>
        </row>
        <row r="128">
          <cell r="B128">
            <v>5303</v>
          </cell>
          <cell r="C128" t="str">
            <v>Tempo - Ensaladera Cuadrada 22,8 cms</v>
          </cell>
          <cell r="D128">
            <v>4768.4000000000005</v>
          </cell>
        </row>
        <row r="129">
          <cell r="B129">
            <v>5314</v>
          </cell>
          <cell r="C129" t="str">
            <v>Tulip Sundae - Copa 155 ml</v>
          </cell>
          <cell r="D129">
            <v>1640.8000000000002</v>
          </cell>
        </row>
        <row r="130">
          <cell r="B130">
            <v>5321</v>
          </cell>
          <cell r="C130" t="str">
            <v>Tempo - Bowl Rectangular 31 x 15 cms.</v>
          </cell>
          <cell r="D130">
            <v>4827.2</v>
          </cell>
        </row>
        <row r="131">
          <cell r="B131">
            <v>5349</v>
          </cell>
          <cell r="C131" t="str">
            <v>Selene - Bowl para ensalada</v>
          </cell>
          <cell r="D131">
            <v>6104</v>
          </cell>
        </row>
        <row r="132">
          <cell r="B132">
            <v>5437</v>
          </cell>
          <cell r="C132" t="str">
            <v>Eiffel - Salero 33 ml</v>
          </cell>
          <cell r="D132">
            <v>1254.4000000000001</v>
          </cell>
        </row>
        <row r="133">
          <cell r="B133">
            <v>5539</v>
          </cell>
          <cell r="C133" t="str">
            <v>Salero C/Tapa de Metal 32 ml</v>
          </cell>
          <cell r="D133">
            <v>1111.6000000000001</v>
          </cell>
        </row>
        <row r="134">
          <cell r="B134">
            <v>5541</v>
          </cell>
          <cell r="C134" t="str">
            <v>Selene - Decantador de Vino 2 lts.</v>
          </cell>
          <cell r="D134">
            <v>7890.4</v>
          </cell>
        </row>
        <row r="135">
          <cell r="B135">
            <v>5600</v>
          </cell>
          <cell r="C135" t="str">
            <v>Chopp Cerveza Panelado 475 ml</v>
          </cell>
          <cell r="D135">
            <v>1660.3999999999999</v>
          </cell>
        </row>
        <row r="136">
          <cell r="B136">
            <v>5671</v>
          </cell>
          <cell r="C136" t="str">
            <v>Super Chopp Cerveza 1 lts.</v>
          </cell>
          <cell r="D136">
            <v>1783.6000000000001</v>
          </cell>
        </row>
        <row r="137">
          <cell r="B137">
            <v>5680</v>
          </cell>
          <cell r="C137" t="str">
            <v>Jarro de café 251 ml</v>
          </cell>
          <cell r="D137">
            <v>1150.8000000000002</v>
          </cell>
        </row>
        <row r="138">
          <cell r="B138">
            <v>5681</v>
          </cell>
          <cell r="C138" t="str">
            <v>Chopp Cerveza 375 ml</v>
          </cell>
          <cell r="D138">
            <v>1369.1999999999998</v>
          </cell>
        </row>
        <row r="139">
          <cell r="B139">
            <v>5781</v>
          </cell>
          <cell r="C139" t="str">
            <v>Eva - Plato Postre</v>
          </cell>
          <cell r="D139">
            <v>1360.8000000000002</v>
          </cell>
        </row>
        <row r="140">
          <cell r="B140">
            <v>5782</v>
          </cell>
          <cell r="C140" t="str">
            <v>Eva - Plato Bowl 594 ml</v>
          </cell>
          <cell r="D140">
            <v>1593.2</v>
          </cell>
        </row>
        <row r="141">
          <cell r="B141">
            <v>5914</v>
          </cell>
          <cell r="C141" t="str">
            <v>Tempo - Bowl Cuadrado 7,55 cms</v>
          </cell>
          <cell r="D141">
            <v>674.80000000000007</v>
          </cell>
        </row>
        <row r="142">
          <cell r="B142">
            <v>6116</v>
          </cell>
          <cell r="C142" t="str">
            <v>Roly Poly - Portavelas 142 ml</v>
          </cell>
          <cell r="D142">
            <v>347.2</v>
          </cell>
        </row>
        <row r="143">
          <cell r="B143">
            <v>6129</v>
          </cell>
          <cell r="C143" t="str">
            <v>Cavana - Vaso Cooler 473 ml</v>
          </cell>
          <cell r="D143">
            <v>700</v>
          </cell>
        </row>
        <row r="144">
          <cell r="B144">
            <v>6130</v>
          </cell>
          <cell r="C144" t="str">
            <v>Roly Poly – Portavela Gde 327 ml</v>
          </cell>
          <cell r="D144">
            <v>442.40000000000003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1316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1610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2035.6</v>
          </cell>
        </row>
        <row r="148">
          <cell r="B148">
            <v>6220</v>
          </cell>
          <cell r="C148" t="str">
            <v>Boston - Vaso Alto 377 ml</v>
          </cell>
          <cell r="D148">
            <v>551.6</v>
          </cell>
        </row>
        <row r="149">
          <cell r="B149">
            <v>6221</v>
          </cell>
          <cell r="C149" t="str">
            <v>Boston - Vaso Bajo 290 ml</v>
          </cell>
          <cell r="D149">
            <v>481.59999999999997</v>
          </cell>
        </row>
        <row r="150">
          <cell r="B150">
            <v>6284</v>
          </cell>
          <cell r="C150" t="str">
            <v>Eva - Vaso 475 ml</v>
          </cell>
          <cell r="D150">
            <v>711.2</v>
          </cell>
        </row>
        <row r="151">
          <cell r="B151">
            <v>6292</v>
          </cell>
          <cell r="C151" t="str">
            <v>Boston - Vaso Cooler 477 ml</v>
          </cell>
          <cell r="D151">
            <v>677.6</v>
          </cell>
        </row>
        <row r="152">
          <cell r="B152">
            <v>6293</v>
          </cell>
          <cell r="C152" t="str">
            <v>Vaso cervecero IPA 615 ml</v>
          </cell>
          <cell r="D152">
            <v>772.8</v>
          </cell>
        </row>
        <row r="153">
          <cell r="B153">
            <v>6386</v>
          </cell>
          <cell r="C153" t="str">
            <v>Fondo Grueso -  Vaso Cooler 483 ml</v>
          </cell>
          <cell r="D153">
            <v>610.40000000000009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495.6</v>
          </cell>
        </row>
        <row r="155">
          <cell r="B155">
            <v>6622</v>
          </cell>
          <cell r="C155" t="str">
            <v>Fondo Grueso -  Vaso Jugo 230 ml</v>
          </cell>
          <cell r="D155">
            <v>394.79999999999995</v>
          </cell>
        </row>
        <row r="156">
          <cell r="B156">
            <v>6624</v>
          </cell>
          <cell r="C156" t="str">
            <v>Fondo Grueso -  Vaso Beverage 310 ml</v>
          </cell>
          <cell r="D156">
            <v>445.20000000000005</v>
          </cell>
        </row>
        <row r="157">
          <cell r="B157">
            <v>6625</v>
          </cell>
          <cell r="C157" t="str">
            <v>Fondo Grueso -  Vaso High Ball 361 ml</v>
          </cell>
          <cell r="D157">
            <v>532</v>
          </cell>
        </row>
        <row r="158">
          <cell r="B158">
            <v>6700</v>
          </cell>
          <cell r="C158" t="str">
            <v>Bravo - Vaso Cerveza 325 ml</v>
          </cell>
          <cell r="D158">
            <v>504</v>
          </cell>
        </row>
        <row r="159">
          <cell r="B159">
            <v>6714</v>
          </cell>
          <cell r="C159" t="str">
            <v>Fondo Grueso -  Vaso Whisky 328 ml</v>
          </cell>
          <cell r="D159">
            <v>523.6</v>
          </cell>
        </row>
        <row r="160">
          <cell r="B160">
            <v>6793</v>
          </cell>
          <cell r="C160" t="str">
            <v>Bravato - Pilsner 354 ml</v>
          </cell>
          <cell r="D160">
            <v>557.20000000000005</v>
          </cell>
        </row>
        <row r="161">
          <cell r="B161">
            <v>7082</v>
          </cell>
          <cell r="C161" t="str">
            <v>Vinagregra con tapa de vidrio 177 ml</v>
          </cell>
          <cell r="D161">
            <v>1408.4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6661.2</v>
          </cell>
        </row>
        <row r="163">
          <cell r="B163">
            <v>7280</v>
          </cell>
          <cell r="C163" t="str">
            <v>Impressions Vaso DOF 370 ml Set x 4</v>
          </cell>
          <cell r="D163">
            <v>2791.6000000000004</v>
          </cell>
        </row>
        <row r="164">
          <cell r="B164">
            <v>7500</v>
          </cell>
          <cell r="C164" t="str">
            <v>Vina - Copa Champagne Flauta 237 ml</v>
          </cell>
          <cell r="D164">
            <v>1562.4</v>
          </cell>
        </row>
        <row r="165">
          <cell r="B165">
            <v>7504</v>
          </cell>
          <cell r="C165" t="str">
            <v>Vina - Copa Vino Alta 547 ml</v>
          </cell>
          <cell r="D165">
            <v>1621.2</v>
          </cell>
        </row>
        <row r="166">
          <cell r="B166">
            <v>7505</v>
          </cell>
          <cell r="C166" t="str">
            <v>Vina - Copa Balloon 540 ml</v>
          </cell>
          <cell r="D166">
            <v>1657.6</v>
          </cell>
        </row>
        <row r="167">
          <cell r="B167">
            <v>7512</v>
          </cell>
          <cell r="C167" t="str">
            <v>Vina - Copa Martini 237 ml</v>
          </cell>
          <cell r="D167">
            <v>1741.6</v>
          </cell>
        </row>
        <row r="168">
          <cell r="B168">
            <v>7517</v>
          </cell>
          <cell r="C168" t="str">
            <v>Vina - Copa Tall Wine 303 ml</v>
          </cell>
          <cell r="D168">
            <v>1517.6</v>
          </cell>
        </row>
        <row r="169">
          <cell r="B169">
            <v>7518</v>
          </cell>
          <cell r="C169" t="str">
            <v>Vina - Copa Martini 296 ml</v>
          </cell>
          <cell r="D169">
            <v>1831.2</v>
          </cell>
        </row>
        <row r="170">
          <cell r="B170">
            <v>7519</v>
          </cell>
          <cell r="C170" t="str">
            <v>Vina - Copa Vino 355 ml</v>
          </cell>
          <cell r="D170">
            <v>1576.3999999999999</v>
          </cell>
        </row>
        <row r="171">
          <cell r="B171">
            <v>7520</v>
          </cell>
          <cell r="C171" t="str">
            <v>Vina - Copa Vino 532 ml</v>
          </cell>
          <cell r="D171">
            <v>1699.6000000000001</v>
          </cell>
        </row>
        <row r="172">
          <cell r="B172">
            <v>7552</v>
          </cell>
          <cell r="C172" t="str">
            <v>Vina - Copa Flauta Trumpet 192 ml</v>
          </cell>
          <cell r="D172">
            <v>1965.6</v>
          </cell>
        </row>
        <row r="173">
          <cell r="B173">
            <v>7696</v>
          </cell>
          <cell r="C173" t="str">
            <v>Plato de torta con pie 31cm</v>
          </cell>
          <cell r="D173">
            <v>9251.1999999999989</v>
          </cell>
        </row>
        <row r="174">
          <cell r="B174">
            <v>7700</v>
          </cell>
          <cell r="C174" t="str">
            <v>Bravura - Copa Martini 200 ml</v>
          </cell>
          <cell r="D174">
            <v>2024.4</v>
          </cell>
        </row>
        <row r="175">
          <cell r="B175">
            <v>7760</v>
          </cell>
          <cell r="C175" t="str">
            <v>Boston - Set  4 vasos DOF 377 ml</v>
          </cell>
          <cell r="D175">
            <v>2587.2000000000003</v>
          </cell>
        </row>
        <row r="176">
          <cell r="B176">
            <v>7878</v>
          </cell>
          <cell r="C176" t="str">
            <v>Tempo - Juego 12 piezas</v>
          </cell>
          <cell r="D176">
            <v>17432.8</v>
          </cell>
        </row>
        <row r="177">
          <cell r="B177">
            <v>7985</v>
          </cell>
          <cell r="C177" t="str">
            <v>Early American Oil Lamp Set</v>
          </cell>
          <cell r="D177">
            <v>10967.6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27994.400000000001</v>
          </cell>
        </row>
        <row r="179">
          <cell r="B179">
            <v>8054</v>
          </cell>
          <cell r="C179" t="str">
            <v>Copa de café Georgian</v>
          </cell>
          <cell r="D179">
            <v>1206.8</v>
          </cell>
        </row>
        <row r="180">
          <cell r="B180">
            <v>8114</v>
          </cell>
          <cell r="C180" t="str">
            <v>Domo Pastelero con Base 19 cms</v>
          </cell>
          <cell r="D180">
            <v>10654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1856.3999999999999</v>
          </cell>
        </row>
        <row r="182">
          <cell r="B182">
            <v>8437</v>
          </cell>
          <cell r="C182" t="str">
            <v>Tempo - Juego Ensaladeras 5 Piezas</v>
          </cell>
          <cell r="D182">
            <v>11858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2161.6</v>
          </cell>
        </row>
        <row r="184">
          <cell r="B184">
            <v>8602</v>
          </cell>
          <cell r="C184" t="str">
            <v>Boston - Set  4 vasos DOF 296 ml</v>
          </cell>
          <cell r="D184">
            <v>2489.2000000000003</v>
          </cell>
        </row>
        <row r="185">
          <cell r="B185">
            <v>8883</v>
          </cell>
          <cell r="C185" t="str">
            <v>Omega - Copa Martini 200 ml</v>
          </cell>
          <cell r="D185">
            <v>2377.2000000000003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5042.8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2088.8000000000002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2119.6</v>
          </cell>
        </row>
        <row r="189">
          <cell r="B189">
            <v>9122</v>
          </cell>
          <cell r="C189" t="str">
            <v>MR Rennaissance - Copa vino 384 ml</v>
          </cell>
          <cell r="D189">
            <v>2634.8</v>
          </cell>
        </row>
        <row r="190">
          <cell r="B190">
            <v>9124</v>
          </cell>
          <cell r="C190" t="str">
            <v>MR Rennaissance - Copa vino 591 ml</v>
          </cell>
          <cell r="D190">
            <v>2718.8</v>
          </cell>
        </row>
        <row r="191">
          <cell r="B191">
            <v>9130</v>
          </cell>
          <cell r="C191" t="str">
            <v>MR Rennaissance - Copa Goblet 399 ml</v>
          </cell>
          <cell r="D191">
            <v>2573.1999999999998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2629.2000000000003</v>
          </cell>
        </row>
        <row r="193">
          <cell r="B193">
            <v>9322</v>
          </cell>
          <cell r="C193" t="str">
            <v>MR Prism -  Copa vino 384 ml</v>
          </cell>
          <cell r="D193">
            <v>3032.4</v>
          </cell>
        </row>
        <row r="194">
          <cell r="B194">
            <v>9324</v>
          </cell>
          <cell r="C194" t="str">
            <v>MR Prism -  Copa vino 562 ml</v>
          </cell>
          <cell r="D194">
            <v>3278.8</v>
          </cell>
        </row>
        <row r="195">
          <cell r="B195">
            <v>9332</v>
          </cell>
          <cell r="C195" t="str">
            <v>MR Prism - Copa Champagne 237 ml</v>
          </cell>
          <cell r="D195">
            <v>2970.7999999999997</v>
          </cell>
        </row>
        <row r="196">
          <cell r="B196" t="str">
            <v>14801HT</v>
          </cell>
          <cell r="C196" t="str">
            <v>English Pub Glass 592 ml</v>
          </cell>
          <cell r="D196">
            <v>1131.2</v>
          </cell>
        </row>
        <row r="197">
          <cell r="B197" t="str">
            <v>14806HT</v>
          </cell>
          <cell r="C197" t="str">
            <v>English Pub Glass 473 ml</v>
          </cell>
          <cell r="D197">
            <v>1106</v>
          </cell>
        </row>
        <row r="198">
          <cell r="B198" t="str">
            <v>14810HT</v>
          </cell>
          <cell r="C198" t="str">
            <v>English Pub Glass 296 ml</v>
          </cell>
          <cell r="D198">
            <v>1052.8</v>
          </cell>
        </row>
        <row r="199">
          <cell r="B199">
            <v>15232</v>
          </cell>
          <cell r="C199" t="str">
            <v>Gibraltar - Vaso  Rocks 296 ml</v>
          </cell>
          <cell r="D199">
            <v>840</v>
          </cell>
        </row>
        <row r="200">
          <cell r="B200">
            <v>15235</v>
          </cell>
          <cell r="C200" t="str">
            <v>Gibraltar - Vaso Cooler 355 ml</v>
          </cell>
          <cell r="D200">
            <v>921.2</v>
          </cell>
        </row>
        <row r="201">
          <cell r="B201">
            <v>15238</v>
          </cell>
          <cell r="C201" t="str">
            <v>Gibraltar - Vaso Beverage 355 ml</v>
          </cell>
          <cell r="D201">
            <v>862.4</v>
          </cell>
        </row>
        <row r="202">
          <cell r="B202">
            <v>15239</v>
          </cell>
          <cell r="C202" t="str">
            <v>Gibraltar - Vaso Hi Ball 207 ml</v>
          </cell>
          <cell r="D202">
            <v>1066.8</v>
          </cell>
        </row>
        <row r="203">
          <cell r="B203">
            <v>15242</v>
          </cell>
          <cell r="C203" t="str">
            <v>Gibraltar - Vaso Rocks 266 ml</v>
          </cell>
          <cell r="D203">
            <v>1086.3999999999999</v>
          </cell>
        </row>
        <row r="204">
          <cell r="B204">
            <v>15244</v>
          </cell>
          <cell r="C204" t="str">
            <v>Gibraltar - Vaso Beverage 414 ml</v>
          </cell>
          <cell r="D204">
            <v>960.40000000000009</v>
          </cell>
        </row>
        <row r="205">
          <cell r="B205">
            <v>15246</v>
          </cell>
          <cell r="C205" t="str">
            <v>Gibraltar - Copa Vino 252 ml</v>
          </cell>
          <cell r="D205">
            <v>2044</v>
          </cell>
        </row>
        <row r="206">
          <cell r="B206">
            <v>15247</v>
          </cell>
          <cell r="C206" t="str">
            <v>Gibraltar - Copa Agua 340 ml</v>
          </cell>
          <cell r="D206">
            <v>2164.4</v>
          </cell>
        </row>
        <row r="207">
          <cell r="B207">
            <v>15248</v>
          </cell>
          <cell r="C207" t="str">
            <v>Gibraltar - Vaso Soda 133 ml</v>
          </cell>
          <cell r="D207">
            <v>604.80000000000007</v>
          </cell>
        </row>
        <row r="208">
          <cell r="B208">
            <v>15256</v>
          </cell>
          <cell r="C208" t="str">
            <v>Gibraltar - Vaso Cooler 473 ml</v>
          </cell>
          <cell r="D208">
            <v>1136.8</v>
          </cell>
        </row>
        <row r="209">
          <cell r="B209">
            <v>15709</v>
          </cell>
          <cell r="C209" t="str">
            <v>Endeavor - Vaso Rocks 207 ml</v>
          </cell>
          <cell r="D209">
            <v>898.8</v>
          </cell>
        </row>
        <row r="210">
          <cell r="B210">
            <v>15710</v>
          </cell>
          <cell r="C210" t="str">
            <v>Endeavor - Vaso Rocks 266 ml</v>
          </cell>
          <cell r="D210">
            <v>982.8</v>
          </cell>
        </row>
        <row r="211">
          <cell r="B211">
            <v>15712</v>
          </cell>
          <cell r="C211" t="str">
            <v>Endeavor - Vaso DOF 355 ml</v>
          </cell>
          <cell r="D211">
            <v>1134</v>
          </cell>
        </row>
        <row r="212">
          <cell r="B212">
            <v>15713</v>
          </cell>
          <cell r="C212" t="str">
            <v>Endeavor - Vaso Beverage 355 ml</v>
          </cell>
          <cell r="D212">
            <v>1142.4000000000001</v>
          </cell>
        </row>
        <row r="213">
          <cell r="B213">
            <v>15714</v>
          </cell>
          <cell r="C213" t="str">
            <v>Endeavor - Vaso Beverage 414 ml</v>
          </cell>
          <cell r="D213">
            <v>1254.4000000000001</v>
          </cell>
        </row>
        <row r="214">
          <cell r="B214">
            <v>15715</v>
          </cell>
          <cell r="C214" t="str">
            <v>Endeavor - Vaso Cooler 473 ml</v>
          </cell>
          <cell r="D214">
            <v>1352.4</v>
          </cell>
        </row>
        <row r="215">
          <cell r="B215">
            <v>15717</v>
          </cell>
          <cell r="C215" t="str">
            <v>Endeavor - Vaso Cooler 599 ml</v>
          </cell>
          <cell r="D215">
            <v>1481.2</v>
          </cell>
        </row>
        <row r="216">
          <cell r="B216">
            <v>15733</v>
          </cell>
          <cell r="C216" t="str">
            <v>Endeavor - Vaso Espresso 110 ml</v>
          </cell>
          <cell r="D216">
            <v>602</v>
          </cell>
        </row>
        <row r="217">
          <cell r="B217">
            <v>23106</v>
          </cell>
          <cell r="C217" t="str">
            <v>Nob Hill - Tall Hi Ball 311 ml</v>
          </cell>
          <cell r="D217">
            <v>700</v>
          </cell>
        </row>
        <row r="218">
          <cell r="B218">
            <v>23236</v>
          </cell>
          <cell r="C218" t="str">
            <v>Nob Hill - Hi-Ball 207 ml</v>
          </cell>
          <cell r="D218">
            <v>800.8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848.4</v>
          </cell>
        </row>
        <row r="220">
          <cell r="B220">
            <v>23496</v>
          </cell>
          <cell r="C220" t="str">
            <v>Nob Hill - Juice 148 ml</v>
          </cell>
          <cell r="D220">
            <v>784</v>
          </cell>
        </row>
        <row r="221">
          <cell r="B221">
            <v>23596</v>
          </cell>
          <cell r="C221" t="str">
            <v>Nob Hill - Beverage 333 ml</v>
          </cell>
          <cell r="D221">
            <v>912.8</v>
          </cell>
        </row>
        <row r="222">
          <cell r="B222">
            <v>37179</v>
          </cell>
          <cell r="C222" t="str">
            <v>Z-Stem - Copa Poco Grande 399 ml</v>
          </cell>
          <cell r="D222">
            <v>1626.8</v>
          </cell>
        </row>
        <row r="223">
          <cell r="B223">
            <v>37799</v>
          </cell>
          <cell r="C223" t="str">
            <v>Z Stem - Copa Martini 274 ml</v>
          </cell>
          <cell r="D223">
            <v>1733.2</v>
          </cell>
        </row>
        <row r="224">
          <cell r="B224">
            <v>56614</v>
          </cell>
          <cell r="C224" t="str">
            <v>Perfect Whiskey - Set 4 vasos 290 ml</v>
          </cell>
          <cell r="D224">
            <v>7453.6</v>
          </cell>
        </row>
        <row r="225">
          <cell r="B225">
            <v>70355</v>
          </cell>
          <cell r="C225" t="str">
            <v>Herritage - Botella 222 ml</v>
          </cell>
          <cell r="D225">
            <v>1296.3999999999999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13434.4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22638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4113.2</v>
          </cell>
        </row>
        <row r="229">
          <cell r="B229">
            <v>154627</v>
          </cell>
          <cell r="C229" t="str">
            <v>Allure Copa Vino Alta 530 ml.</v>
          </cell>
          <cell r="D229">
            <v>1470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7089.6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4177.6000000000004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3463.6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1433.6000000000001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1358</v>
          </cell>
        </row>
        <row r="235">
          <cell r="B235">
            <v>540628</v>
          </cell>
          <cell r="C235" t="str">
            <v>L Esprit  Du Vin Copa Vino 410 ml.</v>
          </cell>
          <cell r="D235">
            <v>1338.4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1358</v>
          </cell>
        </row>
        <row r="237">
          <cell r="B237">
            <v>541625</v>
          </cell>
          <cell r="C237" t="str">
            <v>L Esprit  Du Vin Copa Vino  530 ml.</v>
          </cell>
          <cell r="D237">
            <v>1338.4</v>
          </cell>
        </row>
        <row r="238">
          <cell r="B238">
            <v>603064</v>
          </cell>
          <cell r="C238" t="str">
            <v>Copa cocktail 320 ml.</v>
          </cell>
          <cell r="D238">
            <v>2354.8000000000002</v>
          </cell>
        </row>
        <row r="239">
          <cell r="B239">
            <v>828061</v>
          </cell>
          <cell r="C239" t="str">
            <v>Arome - Vaso Whisky DOF 350 ml.</v>
          </cell>
          <cell r="D239">
            <v>1450.3999999999999</v>
          </cell>
        </row>
        <row r="240">
          <cell r="B240">
            <v>920192</v>
          </cell>
          <cell r="C240" t="str">
            <v>Cidra - Vaso bajo 220 ml.</v>
          </cell>
          <cell r="D240">
            <v>784</v>
          </cell>
        </row>
        <row r="241">
          <cell r="B241">
            <v>920253</v>
          </cell>
          <cell r="C241" t="str">
            <v>Maxim - Chopp 620 ml.</v>
          </cell>
          <cell r="D241">
            <v>1744.4</v>
          </cell>
        </row>
        <row r="242">
          <cell r="B242">
            <v>920284</v>
          </cell>
          <cell r="C242" t="str">
            <v>Munique - Copra cerveza 490 ml.</v>
          </cell>
          <cell r="D242">
            <v>935.19999999999993</v>
          </cell>
        </row>
        <row r="243">
          <cell r="B243">
            <v>920314</v>
          </cell>
          <cell r="C243" t="str">
            <v>Acapulco- Jarro de café 280 ml.</v>
          </cell>
          <cell r="D243">
            <v>1086.3999999999999</v>
          </cell>
        </row>
        <row r="244">
          <cell r="B244">
            <v>921465</v>
          </cell>
          <cell r="C244" t="str">
            <v>Gran Service - Copa 600 ml.</v>
          </cell>
          <cell r="D244">
            <v>1478.4</v>
          </cell>
        </row>
        <row r="245">
          <cell r="B245">
            <v>924152</v>
          </cell>
          <cell r="C245" t="str">
            <v>Hobstar - Vaso DOF 355 ml.</v>
          </cell>
          <cell r="D245">
            <v>1598.8</v>
          </cell>
        </row>
        <row r="246">
          <cell r="B246">
            <v>924640</v>
          </cell>
          <cell r="C246" t="str">
            <v>Acapulco - Taza de café 180 ml.</v>
          </cell>
          <cell r="D246">
            <v>1128.4000000000001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1178.8</v>
          </cell>
        </row>
        <row r="248">
          <cell r="B248">
            <v>926774</v>
          </cell>
          <cell r="C248" t="str">
            <v>Carats - Vaso Berverage 410 ml.</v>
          </cell>
          <cell r="D248">
            <v>1338.4</v>
          </cell>
        </row>
        <row r="249">
          <cell r="B249">
            <v>926781</v>
          </cell>
          <cell r="C249" t="str">
            <v>Carats - Jarra Mixing Glass 750 ml.</v>
          </cell>
          <cell r="D249">
            <v>1332.8</v>
          </cell>
        </row>
        <row r="250">
          <cell r="B250">
            <v>224700014</v>
          </cell>
          <cell r="C250" t="str">
            <v>Country - Copa 420 ml.</v>
          </cell>
          <cell r="D250">
            <v>767.2</v>
          </cell>
        </row>
        <row r="251">
          <cell r="B251">
            <v>226200003</v>
          </cell>
          <cell r="C251" t="str">
            <v>Country - Copa postre 380 ml.</v>
          </cell>
          <cell r="D251">
            <v>764.4</v>
          </cell>
        </row>
        <row r="252">
          <cell r="B252">
            <v>258000001</v>
          </cell>
          <cell r="C252" t="str">
            <v>Oval dessert 250 ml.</v>
          </cell>
          <cell r="D252">
            <v>1355.2</v>
          </cell>
        </row>
        <row r="253">
          <cell r="B253">
            <v>278300001</v>
          </cell>
          <cell r="C253" t="str">
            <v>Acapulco - Café expresso 80 ml.</v>
          </cell>
          <cell r="D253">
            <v>674.80000000000007</v>
          </cell>
        </row>
        <row r="254">
          <cell r="B254">
            <v>364200001</v>
          </cell>
          <cell r="C254" t="str">
            <v>Spirit - Copa de vino 580 ml.</v>
          </cell>
          <cell r="D254">
            <v>1453.2</v>
          </cell>
        </row>
        <row r="255">
          <cell r="B255">
            <v>377800003</v>
          </cell>
          <cell r="C255" t="str">
            <v>Ensemble - Copa sin pie 450 ml.</v>
          </cell>
          <cell r="D255">
            <v>873.6</v>
          </cell>
        </row>
        <row r="256">
          <cell r="B256">
            <v>378900004</v>
          </cell>
          <cell r="C256" t="str">
            <v>Stark - Vaso whisky DOF 360 ml.</v>
          </cell>
          <cell r="D256">
            <v>1128.4000000000001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1134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5107.2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12863.199999999999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20711.599999999999</v>
          </cell>
        </row>
        <row r="261">
          <cell r="B261" t="str">
            <v>A960</v>
          </cell>
          <cell r="C261" t="str">
            <v>Selene - Pastelero con domo</v>
          </cell>
          <cell r="D261">
            <v>13860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3136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4390.3999999999996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5311.5999999999995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4379.2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4054.58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6044.98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F2" sqref="F2:G16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13</v>
      </c>
      <c r="B1" s="2" t="s">
        <v>4</v>
      </c>
      <c r="C1" s="2" t="s">
        <v>5</v>
      </c>
      <c r="D1" s="2" t="s">
        <v>7</v>
      </c>
      <c r="E1" s="2" t="s">
        <v>6</v>
      </c>
      <c r="F1" s="2" t="s">
        <v>9</v>
      </c>
      <c r="G1" s="2" t="s">
        <v>8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11</v>
      </c>
      <c r="D2" s="4">
        <f>+VLOOKUP(A2,[1]Libbey!$B$7:$D$267,3,0)</f>
        <v>1411.2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10</v>
      </c>
      <c r="D3" s="4">
        <f>+VLOOKUP(A3,[1]Libbey!$B$7:$D$267,3,0)</f>
        <v>1444.8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12</v>
      </c>
      <c r="D4" s="4">
        <f>+VLOOKUP(A4,[1]Libbey!$B$7:$D$267,3,0)</f>
        <v>1514.8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12</v>
      </c>
      <c r="D5" s="4">
        <f>+VLOOKUP(A5,[1]Libbey!$B$7:$D$267,3,0)</f>
        <v>1167.5999999999999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10</v>
      </c>
      <c r="D6" s="4">
        <f>+VLOOKUP(A6,[1]Libbey!$B$7:$D$267,3,0)</f>
        <v>1621.2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10</v>
      </c>
      <c r="D7" s="4">
        <f>+VLOOKUP(A7,[1]Libbey!$B$7:$D$267,3,0)</f>
        <v>3032.4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10</v>
      </c>
      <c r="D8" s="4">
        <f>+VLOOKUP(A8,[1]Libbey!$B$7:$D$267,3,0)</f>
        <v>3278.8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10</v>
      </c>
      <c r="D9" s="4">
        <f>+VLOOKUP(A9,[1]Libbey!$B$7:$D$267,3,0)</f>
        <v>2970.7999999999997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11</v>
      </c>
      <c r="D10" s="4">
        <f>+VLOOKUP(A10,[1]Libbey!$B$7:$D$267,3,0)</f>
        <v>1131.2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11</v>
      </c>
      <c r="D11" s="4">
        <f>+VLOOKUP(A11,[1]Libbey!$B$7:$D$267,3,0)</f>
        <v>1106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11</v>
      </c>
      <c r="D12" s="4">
        <f>+VLOOKUP(A12,[1]Libbey!$B$7:$D$267,3,0)</f>
        <v>1052.8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10</v>
      </c>
      <c r="D13" s="4">
        <f>+VLOOKUP(A13,[1]Libbey!$B$7:$D$267,3,0)</f>
        <v>1358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10</v>
      </c>
      <c r="D14" s="4">
        <f>+VLOOKUP(A14,[1]Libbey!$B$7:$D$267,3,0)</f>
        <v>1338.4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10</v>
      </c>
      <c r="D15" s="4">
        <f>+VLOOKUP(A15,[1]Libbey!$B$7:$D$267,3,0)</f>
        <v>1358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10</v>
      </c>
      <c r="D16" s="4">
        <f>+VLOOKUP(A16,[1]Libbey!$B$7:$D$267,3,0)</f>
        <v>1338.4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7"/>
  <sheetViews>
    <sheetView topLeftCell="A9" zoomScale="70" zoomScaleNormal="70" workbookViewId="0">
      <selection activeCell="H9" sqref="H9"/>
    </sheetView>
  </sheetViews>
  <sheetFormatPr baseColWidth="10" defaultRowHeight="14.5" x14ac:dyDescent="0.35"/>
  <cols>
    <col min="1" max="1" width="9.6328125" customWidth="1"/>
    <col min="2" max="2" width="12.26953125" bestFit="1" customWidth="1"/>
    <col min="3" max="3" width="38.1796875" bestFit="1" customWidth="1"/>
    <col min="4" max="4" width="16.453125" bestFit="1" customWidth="1"/>
    <col min="5" max="5" width="8.7265625" bestFit="1" customWidth="1"/>
    <col min="6" max="6" width="7.90625" bestFit="1" customWidth="1"/>
    <col min="7" max="7" width="8.7265625" bestFit="1" customWidth="1"/>
    <col min="8" max="8" width="12.453125" bestFit="1" customWidth="1"/>
  </cols>
  <sheetData>
    <row r="1" spans="1:9" x14ac:dyDescent="0.35">
      <c r="A1" t="s">
        <v>29</v>
      </c>
    </row>
    <row r="2" spans="1:9" x14ac:dyDescent="0.35">
      <c r="A2" t="s">
        <v>30</v>
      </c>
    </row>
    <row r="3" spans="1:9" x14ac:dyDescent="0.35">
      <c r="A3" t="s">
        <v>31</v>
      </c>
    </row>
    <row r="4" spans="1:9" x14ac:dyDescent="0.35">
      <c r="A4" t="s">
        <v>32</v>
      </c>
    </row>
    <row r="5" spans="1:9" x14ac:dyDescent="0.35">
      <c r="A5" t="s">
        <v>7</v>
      </c>
    </row>
    <row r="6" spans="1:9" x14ac:dyDescent="0.35">
      <c r="A6" t="s">
        <v>6</v>
      </c>
    </row>
    <row r="7" spans="1:9" x14ac:dyDescent="0.35">
      <c r="A7" t="s">
        <v>33</v>
      </c>
    </row>
    <row r="8" spans="1:9" x14ac:dyDescent="0.35">
      <c r="A8" t="s">
        <v>34</v>
      </c>
    </row>
    <row r="10" spans="1:9" x14ac:dyDescent="0.35">
      <c r="A10" t="s">
        <v>29</v>
      </c>
      <c r="B10" s="9" t="s">
        <v>30</v>
      </c>
      <c r="C10" s="9" t="s">
        <v>31</v>
      </c>
      <c r="D10" s="9" t="s">
        <v>32</v>
      </c>
      <c r="E10" s="9" t="s">
        <v>7</v>
      </c>
      <c r="F10" s="9" t="s">
        <v>6</v>
      </c>
      <c r="G10" s="9" t="s">
        <v>33</v>
      </c>
      <c r="H10" s="9" t="s">
        <v>34</v>
      </c>
      <c r="I10" t="str">
        <f>+"("&amp;B10&amp;","&amp;C10&amp;","&amp;D10&amp;","&amp;E10&amp;","&amp;F10&amp;","&amp;G10&amp;","&amp;H10&amp;")"</f>
        <v>(productName,productDescription,productCategoryId,price,discount,stock,productImage)</v>
      </c>
    </row>
    <row r="11" spans="1:9" x14ac:dyDescent="0.35">
      <c r="B11" s="15">
        <v>75</v>
      </c>
      <c r="C11" s="3" t="s">
        <v>57</v>
      </c>
      <c r="D11" s="1">
        <v>6</v>
      </c>
      <c r="E11" s="4" t="s">
        <v>35</v>
      </c>
      <c r="F11" s="10">
        <v>0</v>
      </c>
      <c r="G11" s="10">
        <v>1000</v>
      </c>
      <c r="H11" s="4" t="str">
        <f>+B11&amp;(".jpg")</f>
        <v>75.jpg</v>
      </c>
      <c r="I11" t="str">
        <f>+"INSERT INTO sio2.products "&amp;$I$10&amp;" VALUES('"&amp;B11&amp;"','"&amp;C11&amp;"',"&amp;D11&amp;","&amp;E11&amp;","&amp;F11&amp;","&amp;G11&amp;",'"&amp;H11&amp;"');"</f>
        <v>INSERT INTO sio2.products (productName,productDescription,productCategoryId,price,discount,stock,productImage) VALUES('75','City - Tarro Cafetero 473 ml.',6,1411.20,0,1000,'75.jpg');</v>
      </c>
    </row>
    <row r="12" spans="1:9" x14ac:dyDescent="0.35">
      <c r="B12" s="15">
        <v>76</v>
      </c>
      <c r="C12" s="3" t="s">
        <v>58</v>
      </c>
      <c r="D12" s="1">
        <v>6</v>
      </c>
      <c r="E12" s="4" t="s">
        <v>36</v>
      </c>
      <c r="F12" s="10">
        <v>10</v>
      </c>
      <c r="G12" s="10">
        <v>2000</v>
      </c>
      <c r="H12" s="4" t="str">
        <f t="shared" ref="H12:H75" si="0">+B12&amp;(".jpg")</f>
        <v>76.jpg</v>
      </c>
      <c r="I12" t="str">
        <f t="shared" ref="I12:I25" si="1">+"INSERT INTO sio2.products "&amp;$I$10&amp;" VALUES('"&amp;B12&amp;"','"&amp;C12&amp;"',"&amp;D12&amp;","&amp;E12&amp;","&amp;F12&amp;","&amp;G12&amp;",'"&amp;H12&amp;"');"</f>
        <v>INSERT INTO sio2.products (productName,productDescription,productCategoryId,price,discount,stock,productImage) VALUES('76','Tarro Cafetero 399 ml.',6,1444.80,10,2000,'76.jpg');</v>
      </c>
    </row>
    <row r="13" spans="1:9" x14ac:dyDescent="0.35">
      <c r="B13" s="15">
        <v>209</v>
      </c>
      <c r="C13" s="3" t="s">
        <v>59</v>
      </c>
      <c r="D13" s="1">
        <v>8</v>
      </c>
      <c r="E13" s="4" t="s">
        <v>37</v>
      </c>
      <c r="F13" s="10">
        <v>0</v>
      </c>
      <c r="G13" s="10">
        <v>3000</v>
      </c>
      <c r="H13" s="4" t="str">
        <f t="shared" si="0"/>
        <v>209.jpg</v>
      </c>
      <c r="I13" t="str">
        <f t="shared" si="1"/>
        <v>INSERT INTO sio2.products (productName,productDescription,productCategoryId,price,discount,stock,productImage) VALUES('209','Glass Can - Vaso Lata 473 ml',8,1514.80,0,3000,'209.jpg');</v>
      </c>
    </row>
    <row r="14" spans="1:9" x14ac:dyDescent="0.35">
      <c r="B14" s="15">
        <v>221</v>
      </c>
      <c r="C14" s="3" t="s">
        <v>60</v>
      </c>
      <c r="D14" s="1">
        <v>8</v>
      </c>
      <c r="E14" s="4" t="s">
        <v>38</v>
      </c>
      <c r="F14" s="10">
        <v>0</v>
      </c>
      <c r="G14" s="10">
        <v>0</v>
      </c>
      <c r="H14" s="4" t="str">
        <f t="shared" si="0"/>
        <v>221.jpg</v>
      </c>
      <c r="I14" t="str">
        <f t="shared" si="1"/>
        <v>INSERT INTO sio2.products (productName,productDescription,productCategoryId,price,discount,stock,productImage) VALUES('221','Stemless - Vaso Vino  503 ml',8,1167.60,0,0,'221.jpg');</v>
      </c>
    </row>
    <row r="15" spans="1:9" x14ac:dyDescent="0.35">
      <c r="B15" s="15">
        <v>701</v>
      </c>
      <c r="C15" s="3" t="s">
        <v>61</v>
      </c>
      <c r="D15" s="1">
        <v>1</v>
      </c>
      <c r="E15" s="4" t="s">
        <v>39</v>
      </c>
      <c r="F15" s="10">
        <v>0</v>
      </c>
      <c r="G15" s="10">
        <v>400</v>
      </c>
      <c r="H15" s="4" t="str">
        <f t="shared" si="0"/>
        <v>701.jpg</v>
      </c>
      <c r="I15" t="str">
        <f t="shared" si="1"/>
        <v>INSERT INTO sio2.products (productName,productDescription,productCategoryId,price,discount,stock,productImage) VALUES('701','Swerve - Botella refresco con tapa 565 ml',1,1621.20,0,400,'701.jpg');</v>
      </c>
    </row>
    <row r="16" spans="1:9" x14ac:dyDescent="0.35">
      <c r="B16" s="15">
        <v>728</v>
      </c>
      <c r="C16" s="3" t="s">
        <v>62</v>
      </c>
      <c r="D16" s="1">
        <v>1</v>
      </c>
      <c r="E16" s="4" t="s">
        <v>40</v>
      </c>
      <c r="F16" s="10">
        <v>0</v>
      </c>
      <c r="G16" s="10">
        <v>380</v>
      </c>
      <c r="H16" s="4" t="str">
        <f t="shared" si="0"/>
        <v>728.jpg</v>
      </c>
      <c r="I16" t="str">
        <f t="shared" si="1"/>
        <v>INSERT INTO sio2.products (productName,productDescription,productCategoryId,price,discount,stock,productImage) VALUES('728','Swerve - Botella refresco con tapa 651 ml',1,3032.40,0,380,'728.jpg');</v>
      </c>
    </row>
    <row r="17" spans="2:9" x14ac:dyDescent="0.35">
      <c r="B17" s="15">
        <v>760</v>
      </c>
      <c r="C17" s="3" t="s">
        <v>63</v>
      </c>
      <c r="D17" s="1">
        <v>7</v>
      </c>
      <c r="E17" s="4" t="s">
        <v>41</v>
      </c>
      <c r="F17" s="10">
        <v>15</v>
      </c>
      <c r="G17" s="10">
        <v>250</v>
      </c>
      <c r="H17" s="4" t="str">
        <f t="shared" si="0"/>
        <v>760.jpg</v>
      </c>
      <c r="I17" t="str">
        <f t="shared" si="1"/>
        <v>INSERT INTO sio2.products (productName,productDescription,productCategoryId,price,discount,stock,productImage) VALUES('760','Tempo - Plato Cuadrado 20,3 cms',7,3278.80,15,250,'760.jpg');</v>
      </c>
    </row>
    <row r="18" spans="2:9" x14ac:dyDescent="0.35">
      <c r="B18" s="15">
        <v>761</v>
      </c>
      <c r="C18" s="3" t="s">
        <v>64</v>
      </c>
      <c r="D18" s="1">
        <v>7</v>
      </c>
      <c r="E18" s="4" t="s">
        <v>42</v>
      </c>
      <c r="F18" s="10">
        <v>0</v>
      </c>
      <c r="G18" s="10">
        <v>960</v>
      </c>
      <c r="H18" s="4" t="str">
        <f t="shared" si="0"/>
        <v>761.jpg</v>
      </c>
      <c r="I18" t="str">
        <f t="shared" si="1"/>
        <v>INSERT INTO sio2.products (productName,productDescription,productCategoryId,price,discount,stock,productImage) VALUES('761','Tempo - Bowl Cuadrado 14 cms',7,2970.80,0,960,'761.jpg');</v>
      </c>
    </row>
    <row r="19" spans="2:9" x14ac:dyDescent="0.35">
      <c r="B19" s="15">
        <v>769</v>
      </c>
      <c r="C19" s="3" t="s">
        <v>65</v>
      </c>
      <c r="D19" s="1">
        <v>7</v>
      </c>
      <c r="E19" s="4" t="s">
        <v>43</v>
      </c>
      <c r="F19" s="10">
        <v>20</v>
      </c>
      <c r="G19" s="10">
        <v>0</v>
      </c>
      <c r="H19" s="4" t="str">
        <f t="shared" si="0"/>
        <v>769.jpg</v>
      </c>
      <c r="I19" t="str">
        <f t="shared" si="1"/>
        <v>INSERT INTO sio2.products (productName,productDescription,productCategoryId,price,discount,stock,productImage) VALUES('769','Tempo - Fuente Rectangular 24 x 13 cms',7,1131.20,20,0,'769.jpg');</v>
      </c>
    </row>
    <row r="20" spans="2:9" x14ac:dyDescent="0.35">
      <c r="B20" s="15">
        <v>770</v>
      </c>
      <c r="C20" s="3" t="s">
        <v>66</v>
      </c>
      <c r="D20" s="1">
        <v>6</v>
      </c>
      <c r="E20" s="4" t="s">
        <v>44</v>
      </c>
      <c r="F20" s="10">
        <v>30</v>
      </c>
      <c r="G20" s="10">
        <v>400</v>
      </c>
      <c r="H20" s="4" t="str">
        <f t="shared" si="0"/>
        <v>770.jpg</v>
      </c>
      <c r="I20" t="str">
        <f t="shared" si="1"/>
        <v>INSERT INTO sio2.products (productName,productDescription,productCategoryId,price,discount,stock,productImage) VALUES('770','Tempo - Taza Café 300 ml',6,1106.00,30,400,'770.jpg');</v>
      </c>
    </row>
    <row r="21" spans="2:9" x14ac:dyDescent="0.35">
      <c r="B21" s="15">
        <v>782</v>
      </c>
      <c r="C21" s="3" t="s">
        <v>67</v>
      </c>
      <c r="D21" s="1">
        <v>4</v>
      </c>
      <c r="E21" s="4" t="s">
        <v>45</v>
      </c>
      <c r="F21" s="10">
        <v>35</v>
      </c>
      <c r="G21" s="10">
        <v>380</v>
      </c>
      <c r="H21" s="4" t="str">
        <f t="shared" si="0"/>
        <v>782.jpg</v>
      </c>
      <c r="I21" t="str">
        <f t="shared" si="1"/>
        <v>INSERT INTO sio2.products (productName,productDescription,productCategoryId,price,discount,stock,productImage) VALUES('782','Decantador para copa 296 ml',4,1052.80,35,380,'782.jpg');</v>
      </c>
    </row>
    <row r="22" spans="2:9" x14ac:dyDescent="0.35">
      <c r="B22" s="15">
        <v>1377</v>
      </c>
      <c r="C22" s="3" t="s">
        <v>68</v>
      </c>
      <c r="D22" s="1">
        <v>7</v>
      </c>
      <c r="E22" s="4" t="s">
        <v>46</v>
      </c>
      <c r="F22" s="10">
        <v>0</v>
      </c>
      <c r="G22" s="10">
        <v>250</v>
      </c>
      <c r="H22" s="4" t="str">
        <f t="shared" si="0"/>
        <v>1377.jpg</v>
      </c>
      <c r="I22" t="str">
        <f t="shared" si="1"/>
        <v>INSERT INTO sio2.products (productName,productDescription,productCategoryId,price,discount,stock,productImage) VALUES('1377','Contempo - Juego de vajilla 20 piezas',7,1358.00,0,250,'1377.jpg');</v>
      </c>
    </row>
    <row r="23" spans="2:9" x14ac:dyDescent="0.35">
      <c r="B23" s="15">
        <v>1604</v>
      </c>
      <c r="C23" s="3" t="s">
        <v>69</v>
      </c>
      <c r="D23" s="1">
        <v>8</v>
      </c>
      <c r="E23" s="4" t="s">
        <v>47</v>
      </c>
      <c r="F23" s="10">
        <v>0</v>
      </c>
      <c r="G23" s="10">
        <v>960</v>
      </c>
      <c r="H23" s="4" t="str">
        <f t="shared" si="0"/>
        <v>1604.jpg</v>
      </c>
      <c r="I23" t="str">
        <f t="shared" si="1"/>
        <v>INSERT INTO sio2.products (productName,productDescription,productCategoryId,price,discount,stock,productImage) VALUES('1604','Pilsner - Vaso 473 ml',8,1338.40,0,960,'1604.jpg');</v>
      </c>
    </row>
    <row r="24" spans="2:9" x14ac:dyDescent="0.35">
      <c r="B24" s="15" t="s">
        <v>0</v>
      </c>
      <c r="C24" s="3" t="s">
        <v>70</v>
      </c>
      <c r="D24" s="1">
        <v>8</v>
      </c>
      <c r="E24" s="4" t="s">
        <v>46</v>
      </c>
      <c r="F24" s="10">
        <v>10</v>
      </c>
      <c r="G24" s="10">
        <v>0</v>
      </c>
      <c r="H24" s="4" t="str">
        <f t="shared" si="0"/>
        <v>1639HT.jpg</v>
      </c>
      <c r="I24" t="str">
        <f t="shared" si="1"/>
        <v>INSERT INTO sio2.products (productName,productDescription,productCategoryId,price,discount,stock,productImage) VALUES('1639HT','Restaurant Basics - Vaso Mixing Glass 473 ml',8,1358.00,10,0,'1639HT.jpg');</v>
      </c>
    </row>
    <row r="25" spans="2:9" x14ac:dyDescent="0.35">
      <c r="B25" s="15">
        <v>1647</v>
      </c>
      <c r="C25" s="3" t="s">
        <v>71</v>
      </c>
      <c r="D25" s="1">
        <v>8</v>
      </c>
      <c r="E25" s="4" t="s">
        <v>47</v>
      </c>
      <c r="F25" s="10">
        <v>0</v>
      </c>
      <c r="G25" s="10">
        <v>250</v>
      </c>
      <c r="H25" s="4" t="str">
        <f t="shared" si="0"/>
        <v>1647.jpg</v>
      </c>
      <c r="I25" t="str">
        <f t="shared" si="1"/>
        <v>INSERT INTO sio2.products (productName,productDescription,productCategoryId,price,discount,stock,productImage) VALUES('1647','Craft Brews - Vaso IPA 473 ml',8,1338.40,0,250,'1647.jpg');</v>
      </c>
    </row>
    <row r="26" spans="2:9" x14ac:dyDescent="0.35">
      <c r="B26" s="16">
        <v>3010</v>
      </c>
      <c r="C26" t="s">
        <v>73</v>
      </c>
      <c r="D26" s="17">
        <v>3</v>
      </c>
      <c r="F26" s="10">
        <v>0</v>
      </c>
      <c r="G26" s="10">
        <v>1000</v>
      </c>
      <c r="H26" s="4" t="str">
        <f t="shared" si="0"/>
        <v>3010.jpg</v>
      </c>
    </row>
    <row r="27" spans="2:9" x14ac:dyDescent="0.35">
      <c r="B27" s="16">
        <v>3011</v>
      </c>
      <c r="C27" t="s">
        <v>74</v>
      </c>
      <c r="D27" s="17">
        <v>3</v>
      </c>
      <c r="F27" s="10">
        <v>10</v>
      </c>
      <c r="G27" s="10">
        <v>2000</v>
      </c>
      <c r="H27" s="4" t="str">
        <f t="shared" si="0"/>
        <v>3011.jpg</v>
      </c>
    </row>
    <row r="28" spans="2:9" x14ac:dyDescent="0.35">
      <c r="B28" s="16">
        <v>3057</v>
      </c>
      <c r="C28" t="s">
        <v>75</v>
      </c>
      <c r="D28" s="17">
        <v>3</v>
      </c>
      <c r="F28" s="10">
        <v>0</v>
      </c>
      <c r="G28" s="10">
        <v>3000</v>
      </c>
      <c r="H28" s="4" t="str">
        <f t="shared" si="0"/>
        <v>3057.jpg</v>
      </c>
    </row>
    <row r="29" spans="2:9" x14ac:dyDescent="0.35">
      <c r="B29" s="16">
        <v>3060</v>
      </c>
      <c r="C29" t="s">
        <v>76</v>
      </c>
      <c r="D29" s="17">
        <v>3</v>
      </c>
      <c r="F29" s="10">
        <v>0</v>
      </c>
      <c r="G29" s="10">
        <v>0</v>
      </c>
      <c r="H29" s="4" t="str">
        <f t="shared" si="0"/>
        <v>3060.jpg</v>
      </c>
    </row>
    <row r="30" spans="2:9" x14ac:dyDescent="0.35">
      <c r="B30" s="16">
        <v>3096</v>
      </c>
      <c r="C30" t="s">
        <v>77</v>
      </c>
      <c r="D30" s="17">
        <v>3</v>
      </c>
      <c r="F30" s="10">
        <v>0</v>
      </c>
      <c r="G30" s="10">
        <v>400</v>
      </c>
      <c r="H30" s="4" t="str">
        <f t="shared" si="0"/>
        <v>3096.jpg</v>
      </c>
    </row>
    <row r="31" spans="2:9" x14ac:dyDescent="0.35">
      <c r="B31" s="16">
        <v>3603</v>
      </c>
      <c r="C31" t="s">
        <v>78</v>
      </c>
      <c r="D31" s="17">
        <v>7</v>
      </c>
      <c r="F31" s="10">
        <v>0</v>
      </c>
      <c r="G31" s="10">
        <v>380</v>
      </c>
      <c r="H31" s="4" t="str">
        <f t="shared" si="0"/>
        <v>3603.jpg</v>
      </c>
    </row>
    <row r="32" spans="2:9" x14ac:dyDescent="0.35">
      <c r="B32" s="16">
        <v>3692</v>
      </c>
      <c r="C32" t="s">
        <v>79</v>
      </c>
      <c r="D32" s="17">
        <v>7</v>
      </c>
      <c r="F32" s="10">
        <v>15</v>
      </c>
      <c r="G32" s="10">
        <v>250</v>
      </c>
      <c r="H32" s="4" t="str">
        <f t="shared" si="0"/>
        <v>3692.jpg</v>
      </c>
    </row>
    <row r="33" spans="2:8" x14ac:dyDescent="0.35">
      <c r="B33" s="16">
        <v>3800</v>
      </c>
      <c r="C33" t="s">
        <v>80</v>
      </c>
      <c r="D33" s="17">
        <v>5</v>
      </c>
      <c r="F33" s="10">
        <v>0</v>
      </c>
      <c r="G33" s="10">
        <v>960</v>
      </c>
      <c r="H33" s="4" t="str">
        <f t="shared" si="0"/>
        <v>3800.jpg</v>
      </c>
    </row>
    <row r="34" spans="2:8" x14ac:dyDescent="0.35">
      <c r="B34" s="16">
        <v>3807</v>
      </c>
      <c r="C34" t="s">
        <v>81</v>
      </c>
      <c r="D34" s="17">
        <v>3</v>
      </c>
      <c r="F34" s="10">
        <v>20</v>
      </c>
      <c r="G34" s="10">
        <v>0</v>
      </c>
      <c r="H34" s="4" t="str">
        <f t="shared" si="0"/>
        <v>3807.jpg</v>
      </c>
    </row>
    <row r="35" spans="2:8" x14ac:dyDescent="0.35">
      <c r="B35" s="16">
        <v>3808</v>
      </c>
      <c r="C35" t="s">
        <v>82</v>
      </c>
      <c r="D35" s="17">
        <v>3</v>
      </c>
      <c r="F35" s="10">
        <v>30</v>
      </c>
      <c r="G35" s="10">
        <v>400</v>
      </c>
      <c r="H35" s="4" t="str">
        <f t="shared" si="0"/>
        <v>3808.jpg</v>
      </c>
    </row>
    <row r="36" spans="2:8" x14ac:dyDescent="0.35">
      <c r="B36" s="16">
        <v>3811</v>
      </c>
      <c r="C36" t="s">
        <v>83</v>
      </c>
      <c r="D36" s="17">
        <v>5</v>
      </c>
      <c r="F36" s="10">
        <v>35</v>
      </c>
      <c r="G36" s="10">
        <v>380</v>
      </c>
      <c r="H36" s="4" t="str">
        <f t="shared" si="0"/>
        <v>3811.jpg</v>
      </c>
    </row>
    <row r="37" spans="2:8" x14ac:dyDescent="0.35">
      <c r="B37" s="16">
        <v>3856</v>
      </c>
      <c r="C37" t="s">
        <v>145</v>
      </c>
      <c r="D37" s="17">
        <v>1</v>
      </c>
      <c r="F37" s="10">
        <v>0</v>
      </c>
      <c r="G37" s="10">
        <v>250</v>
      </c>
      <c r="H37" s="4" t="str">
        <f t="shared" si="0"/>
        <v>3856.jpg</v>
      </c>
    </row>
    <row r="38" spans="2:8" x14ac:dyDescent="0.35">
      <c r="B38" s="16">
        <v>3857</v>
      </c>
      <c r="C38" t="s">
        <v>146</v>
      </c>
      <c r="D38" s="17">
        <v>1</v>
      </c>
      <c r="F38" s="10">
        <v>0</v>
      </c>
      <c r="G38" s="10">
        <v>960</v>
      </c>
      <c r="H38" s="4" t="str">
        <f t="shared" si="0"/>
        <v>3857.jpg</v>
      </c>
    </row>
    <row r="39" spans="2:8" x14ac:dyDescent="0.35">
      <c r="B39" s="16">
        <v>3864</v>
      </c>
      <c r="C39" t="s">
        <v>84</v>
      </c>
      <c r="D39" s="17">
        <v>5</v>
      </c>
      <c r="F39" s="10">
        <v>10</v>
      </c>
      <c r="G39" s="10">
        <v>0</v>
      </c>
      <c r="H39" s="4" t="str">
        <f t="shared" si="0"/>
        <v>3864.jpg</v>
      </c>
    </row>
    <row r="40" spans="2:8" x14ac:dyDescent="0.35">
      <c r="B40" s="16">
        <v>3882</v>
      </c>
      <c r="C40" t="s">
        <v>85</v>
      </c>
      <c r="D40" s="17">
        <v>5</v>
      </c>
      <c r="F40" s="10">
        <v>0</v>
      </c>
      <c r="G40" s="10">
        <v>250</v>
      </c>
      <c r="H40" s="4" t="str">
        <f t="shared" si="0"/>
        <v>3882.jpg</v>
      </c>
    </row>
    <row r="41" spans="2:8" x14ac:dyDescent="0.35">
      <c r="B41" s="16">
        <v>3886</v>
      </c>
      <c r="C41" t="s">
        <v>86</v>
      </c>
      <c r="D41" s="17">
        <v>5</v>
      </c>
      <c r="F41" s="10">
        <v>0</v>
      </c>
      <c r="G41" s="10">
        <v>1000</v>
      </c>
      <c r="H41" s="4" t="str">
        <f t="shared" si="0"/>
        <v>3886.jpg</v>
      </c>
    </row>
    <row r="42" spans="2:8" x14ac:dyDescent="0.35">
      <c r="B42" s="16">
        <v>3957</v>
      </c>
      <c r="C42" t="s">
        <v>87</v>
      </c>
      <c r="D42" s="17">
        <v>5</v>
      </c>
      <c r="F42" s="10">
        <v>0</v>
      </c>
      <c r="G42" s="10">
        <v>2000</v>
      </c>
      <c r="H42" s="4" t="str">
        <f t="shared" si="0"/>
        <v>3957.jpg</v>
      </c>
    </row>
    <row r="43" spans="2:8" x14ac:dyDescent="0.35">
      <c r="B43" s="16">
        <v>4304</v>
      </c>
      <c r="C43" t="s">
        <v>88</v>
      </c>
      <c r="D43" s="17">
        <v>6</v>
      </c>
      <c r="F43" s="10">
        <v>0</v>
      </c>
      <c r="G43" s="10">
        <v>3000</v>
      </c>
      <c r="H43" s="4" t="str">
        <f t="shared" si="0"/>
        <v>4304.jpg</v>
      </c>
    </row>
    <row r="44" spans="2:8" x14ac:dyDescent="0.35">
      <c r="B44" s="16">
        <v>4390</v>
      </c>
      <c r="C44" t="s">
        <v>89</v>
      </c>
      <c r="D44" s="17">
        <v>6</v>
      </c>
      <c r="F44" s="10">
        <v>15</v>
      </c>
      <c r="G44" s="10">
        <v>0</v>
      </c>
      <c r="H44" s="4" t="str">
        <f t="shared" si="0"/>
        <v>4390.jpg</v>
      </c>
    </row>
    <row r="45" spans="2:8" x14ac:dyDescent="0.35">
      <c r="B45" s="16">
        <v>5001</v>
      </c>
      <c r="C45" t="s">
        <v>90</v>
      </c>
      <c r="D45" s="17">
        <v>2</v>
      </c>
      <c r="F45" s="10">
        <v>0</v>
      </c>
      <c r="G45" s="10">
        <v>400</v>
      </c>
      <c r="H45" s="4" t="str">
        <f t="shared" si="0"/>
        <v>5001.jpg</v>
      </c>
    </row>
    <row r="46" spans="2:8" x14ac:dyDescent="0.35">
      <c r="B46" s="16">
        <v>5110</v>
      </c>
      <c r="C46" t="s">
        <v>72</v>
      </c>
      <c r="D46" s="17">
        <v>7</v>
      </c>
      <c r="F46" s="10">
        <v>20</v>
      </c>
      <c r="G46" s="10">
        <v>380</v>
      </c>
      <c r="H46" s="4" t="str">
        <f t="shared" si="0"/>
        <v>5110.jpg</v>
      </c>
    </row>
    <row r="47" spans="2:8" x14ac:dyDescent="0.35">
      <c r="B47" s="16">
        <v>5292</v>
      </c>
      <c r="C47" t="s">
        <v>91</v>
      </c>
      <c r="D47" s="17">
        <v>6</v>
      </c>
      <c r="F47" s="10">
        <v>30</v>
      </c>
      <c r="G47" s="10">
        <v>250</v>
      </c>
      <c r="H47" s="4" t="str">
        <f t="shared" si="0"/>
        <v>5292.jpg</v>
      </c>
    </row>
    <row r="48" spans="2:8" x14ac:dyDescent="0.35">
      <c r="B48" s="16">
        <v>5293</v>
      </c>
      <c r="C48" t="s">
        <v>92</v>
      </c>
      <c r="D48" s="17">
        <v>6</v>
      </c>
      <c r="F48" s="10">
        <v>35</v>
      </c>
      <c r="G48" s="10">
        <v>960</v>
      </c>
      <c r="H48" s="4" t="str">
        <f t="shared" si="0"/>
        <v>5293.jpg</v>
      </c>
    </row>
    <row r="49" spans="2:8" x14ac:dyDescent="0.35">
      <c r="B49" s="16">
        <v>5298</v>
      </c>
      <c r="C49" t="s">
        <v>93</v>
      </c>
      <c r="D49" s="17">
        <v>2</v>
      </c>
      <c r="F49" s="10">
        <v>0</v>
      </c>
      <c r="G49" s="10">
        <v>0</v>
      </c>
      <c r="H49" s="4" t="str">
        <f t="shared" si="0"/>
        <v>5298.jpg</v>
      </c>
    </row>
    <row r="50" spans="2:8" x14ac:dyDescent="0.35">
      <c r="B50" s="16">
        <v>5303</v>
      </c>
      <c r="C50" t="s">
        <v>94</v>
      </c>
      <c r="D50" s="17">
        <v>7</v>
      </c>
      <c r="F50" s="10">
        <v>0</v>
      </c>
      <c r="G50" s="10">
        <v>400</v>
      </c>
      <c r="H50" s="4" t="str">
        <f t="shared" si="0"/>
        <v>5303.jpg</v>
      </c>
    </row>
    <row r="51" spans="2:8" x14ac:dyDescent="0.35">
      <c r="B51" s="16">
        <v>5314</v>
      </c>
      <c r="C51" t="s">
        <v>95</v>
      </c>
      <c r="D51" s="17">
        <v>7</v>
      </c>
      <c r="F51" s="10">
        <v>10</v>
      </c>
      <c r="G51" s="10">
        <v>380</v>
      </c>
      <c r="H51" s="4" t="str">
        <f t="shared" si="0"/>
        <v>5314.jpg</v>
      </c>
    </row>
    <row r="52" spans="2:8" x14ac:dyDescent="0.35">
      <c r="B52" s="16">
        <v>5321</v>
      </c>
      <c r="C52" t="s">
        <v>96</v>
      </c>
      <c r="D52" s="17">
        <v>7</v>
      </c>
      <c r="F52" s="10">
        <v>0</v>
      </c>
      <c r="G52" s="10">
        <v>250</v>
      </c>
      <c r="H52" s="4" t="str">
        <f t="shared" si="0"/>
        <v>5321.jpg</v>
      </c>
    </row>
    <row r="53" spans="2:8" x14ac:dyDescent="0.35">
      <c r="B53" s="16">
        <v>5349</v>
      </c>
      <c r="C53" t="s">
        <v>97</v>
      </c>
      <c r="D53" s="17">
        <v>7</v>
      </c>
      <c r="F53" s="10">
        <v>0</v>
      </c>
      <c r="G53" s="10">
        <v>960</v>
      </c>
      <c r="H53" s="4" t="str">
        <f t="shared" si="0"/>
        <v>5349.jpg</v>
      </c>
    </row>
    <row r="54" spans="2:8" x14ac:dyDescent="0.35">
      <c r="B54" s="16">
        <v>5541</v>
      </c>
      <c r="C54" t="s">
        <v>98</v>
      </c>
      <c r="D54" s="17">
        <v>4</v>
      </c>
      <c r="F54" s="10">
        <v>0</v>
      </c>
      <c r="G54" s="10">
        <v>0</v>
      </c>
      <c r="H54" s="4" t="str">
        <f t="shared" si="0"/>
        <v>5541.jpg</v>
      </c>
    </row>
    <row r="55" spans="2:8" x14ac:dyDescent="0.35">
      <c r="B55" s="16">
        <v>5600</v>
      </c>
      <c r="C55" t="s">
        <v>99</v>
      </c>
      <c r="D55" s="17">
        <v>2</v>
      </c>
      <c r="F55" s="10">
        <v>0</v>
      </c>
      <c r="G55" s="10">
        <v>250</v>
      </c>
      <c r="H55" s="4" t="str">
        <f t="shared" si="0"/>
        <v>5600.jpg</v>
      </c>
    </row>
    <row r="56" spans="2:8" x14ac:dyDescent="0.35">
      <c r="B56" s="16">
        <v>5671</v>
      </c>
      <c r="C56" t="s">
        <v>100</v>
      </c>
      <c r="D56" s="17">
        <v>2</v>
      </c>
      <c r="F56" s="10">
        <v>15</v>
      </c>
      <c r="G56" s="10">
        <v>1000</v>
      </c>
      <c r="H56" s="4" t="str">
        <f t="shared" si="0"/>
        <v>5671.jpg</v>
      </c>
    </row>
    <row r="57" spans="2:8" x14ac:dyDescent="0.35">
      <c r="B57" s="16">
        <v>5680</v>
      </c>
      <c r="C57" t="s">
        <v>101</v>
      </c>
      <c r="D57" s="17">
        <v>6</v>
      </c>
      <c r="F57" s="10">
        <v>0</v>
      </c>
      <c r="G57" s="10">
        <v>2000</v>
      </c>
      <c r="H57" s="4" t="str">
        <f t="shared" si="0"/>
        <v>5680.jpg</v>
      </c>
    </row>
    <row r="58" spans="2:8" x14ac:dyDescent="0.35">
      <c r="B58" s="16">
        <v>5681</v>
      </c>
      <c r="C58" t="s">
        <v>102</v>
      </c>
      <c r="D58" s="17">
        <v>2</v>
      </c>
      <c r="F58" s="10">
        <v>20</v>
      </c>
      <c r="G58" s="10">
        <v>3000</v>
      </c>
      <c r="H58" s="4" t="str">
        <f t="shared" si="0"/>
        <v>5681.jpg</v>
      </c>
    </row>
    <row r="59" spans="2:8" x14ac:dyDescent="0.35">
      <c r="B59" s="16">
        <v>5781</v>
      </c>
      <c r="C59" t="s">
        <v>103</v>
      </c>
      <c r="D59" s="17">
        <v>7</v>
      </c>
      <c r="F59" s="10">
        <v>30</v>
      </c>
      <c r="G59" s="10">
        <v>0</v>
      </c>
      <c r="H59" s="4" t="str">
        <f t="shared" si="0"/>
        <v>5781.jpg</v>
      </c>
    </row>
    <row r="60" spans="2:8" x14ac:dyDescent="0.35">
      <c r="B60" s="16">
        <v>5782</v>
      </c>
      <c r="C60" t="s">
        <v>104</v>
      </c>
      <c r="D60" s="17">
        <v>7</v>
      </c>
      <c r="F60" s="10">
        <v>35</v>
      </c>
      <c r="G60" s="10">
        <v>400</v>
      </c>
      <c r="H60" s="4" t="str">
        <f t="shared" si="0"/>
        <v>5782.jpg</v>
      </c>
    </row>
    <row r="61" spans="2:8" x14ac:dyDescent="0.35">
      <c r="B61" s="16">
        <v>6293</v>
      </c>
      <c r="C61" t="s">
        <v>105</v>
      </c>
      <c r="D61" s="17">
        <v>8</v>
      </c>
      <c r="F61" s="10">
        <v>0</v>
      </c>
      <c r="G61" s="10">
        <v>380</v>
      </c>
      <c r="H61" s="4" t="str">
        <f t="shared" si="0"/>
        <v>6293.jpg</v>
      </c>
    </row>
    <row r="62" spans="2:8" x14ac:dyDescent="0.35">
      <c r="B62" s="16">
        <v>7082</v>
      </c>
      <c r="C62" t="s">
        <v>106</v>
      </c>
      <c r="D62" s="17">
        <v>7</v>
      </c>
      <c r="F62" s="10">
        <v>0</v>
      </c>
      <c r="G62" s="10">
        <v>250</v>
      </c>
      <c r="H62" s="4" t="str">
        <f t="shared" si="0"/>
        <v>7082.jpg</v>
      </c>
    </row>
    <row r="63" spans="2:8" x14ac:dyDescent="0.35">
      <c r="B63" s="16">
        <v>7500</v>
      </c>
      <c r="C63" t="s">
        <v>107</v>
      </c>
      <c r="D63" s="17">
        <v>3</v>
      </c>
      <c r="F63" s="10">
        <v>10</v>
      </c>
      <c r="G63" s="10">
        <v>960</v>
      </c>
      <c r="H63" s="4" t="str">
        <f t="shared" si="0"/>
        <v>7500.jpg</v>
      </c>
    </row>
    <row r="64" spans="2:8" x14ac:dyDescent="0.35">
      <c r="B64" s="16">
        <v>7504</v>
      </c>
      <c r="C64" t="s">
        <v>108</v>
      </c>
      <c r="D64" s="17">
        <v>3</v>
      </c>
      <c r="F64" s="10">
        <v>0</v>
      </c>
      <c r="G64" s="10">
        <v>0</v>
      </c>
      <c r="H64" s="4" t="str">
        <f t="shared" si="0"/>
        <v>7504.jpg</v>
      </c>
    </row>
    <row r="65" spans="2:8" x14ac:dyDescent="0.35">
      <c r="B65" s="16">
        <v>7518</v>
      </c>
      <c r="C65" t="s">
        <v>109</v>
      </c>
      <c r="D65" s="17">
        <v>3</v>
      </c>
      <c r="F65" s="10">
        <v>0</v>
      </c>
      <c r="G65" s="10">
        <v>400</v>
      </c>
      <c r="H65" s="4" t="str">
        <f t="shared" si="0"/>
        <v>7518.jpg</v>
      </c>
    </row>
    <row r="66" spans="2:8" x14ac:dyDescent="0.35">
      <c r="B66" s="16">
        <v>7696</v>
      </c>
      <c r="C66" t="s">
        <v>110</v>
      </c>
      <c r="D66" s="17">
        <v>7</v>
      </c>
      <c r="F66" s="10">
        <v>0</v>
      </c>
      <c r="G66" s="10">
        <v>380</v>
      </c>
      <c r="H66" s="4" t="str">
        <f t="shared" si="0"/>
        <v>7696.jpg</v>
      </c>
    </row>
    <row r="67" spans="2:8" x14ac:dyDescent="0.35">
      <c r="B67" s="16">
        <v>8019</v>
      </c>
      <c r="C67" t="s">
        <v>111</v>
      </c>
      <c r="D67" s="17">
        <v>7</v>
      </c>
      <c r="F67" s="10">
        <v>0</v>
      </c>
      <c r="G67" s="10">
        <v>250</v>
      </c>
      <c r="H67" s="4" t="str">
        <f t="shared" si="0"/>
        <v>8019.jpg</v>
      </c>
    </row>
    <row r="68" spans="2:8" x14ac:dyDescent="0.35">
      <c r="B68" s="16">
        <v>8114</v>
      </c>
      <c r="C68" t="s">
        <v>112</v>
      </c>
      <c r="D68" s="17">
        <v>7</v>
      </c>
      <c r="F68" s="10">
        <v>15</v>
      </c>
      <c r="G68" s="10">
        <v>960</v>
      </c>
      <c r="H68" s="4" t="str">
        <f t="shared" si="0"/>
        <v>8114.jpg</v>
      </c>
    </row>
    <row r="69" spans="2:8" x14ac:dyDescent="0.35">
      <c r="B69" s="16">
        <v>8437</v>
      </c>
      <c r="C69" t="s">
        <v>113</v>
      </c>
      <c r="D69" s="17">
        <v>7</v>
      </c>
      <c r="F69" s="10">
        <v>0</v>
      </c>
      <c r="G69" s="10">
        <v>0</v>
      </c>
      <c r="H69" s="4" t="str">
        <f t="shared" si="0"/>
        <v>8437.jpg</v>
      </c>
    </row>
    <row r="70" spans="2:8" x14ac:dyDescent="0.35">
      <c r="B70" s="16">
        <v>9017</v>
      </c>
      <c r="C70" t="s">
        <v>114</v>
      </c>
      <c r="D70" s="17">
        <v>8</v>
      </c>
      <c r="F70" s="10">
        <v>20</v>
      </c>
      <c r="G70" s="10">
        <v>250</v>
      </c>
      <c r="H70" s="4" t="str">
        <f t="shared" si="0"/>
        <v>9017.jpg</v>
      </c>
    </row>
    <row r="71" spans="2:8" x14ac:dyDescent="0.35">
      <c r="B71" s="16">
        <v>9124</v>
      </c>
      <c r="C71" t="s">
        <v>115</v>
      </c>
      <c r="D71" s="17">
        <v>3</v>
      </c>
      <c r="F71" s="10">
        <v>30</v>
      </c>
      <c r="G71" s="10">
        <v>1000</v>
      </c>
      <c r="H71" s="4" t="str">
        <f t="shared" si="0"/>
        <v>9124.jpg</v>
      </c>
    </row>
    <row r="72" spans="2:8" x14ac:dyDescent="0.35">
      <c r="B72" s="16">
        <v>9138</v>
      </c>
      <c r="C72" t="s">
        <v>116</v>
      </c>
      <c r="D72" s="17">
        <v>3</v>
      </c>
      <c r="F72" s="10">
        <v>35</v>
      </c>
      <c r="G72" s="10">
        <v>2000</v>
      </c>
      <c r="H72" s="4" t="str">
        <f t="shared" si="0"/>
        <v>9138.jpg</v>
      </c>
    </row>
    <row r="73" spans="2:8" x14ac:dyDescent="0.35">
      <c r="B73" s="16">
        <v>9322</v>
      </c>
      <c r="C73" t="s">
        <v>117</v>
      </c>
      <c r="D73" s="17">
        <v>3</v>
      </c>
      <c r="F73" s="10">
        <v>0</v>
      </c>
      <c r="G73" s="10">
        <v>3000</v>
      </c>
      <c r="H73" s="4" t="str">
        <f t="shared" si="0"/>
        <v>9322.jpg</v>
      </c>
    </row>
    <row r="74" spans="2:8" x14ac:dyDescent="0.35">
      <c r="B74" s="16">
        <v>9332</v>
      </c>
      <c r="C74" t="s">
        <v>118</v>
      </c>
      <c r="D74" s="17">
        <v>3</v>
      </c>
      <c r="F74" s="10">
        <v>0</v>
      </c>
      <c r="G74" s="10">
        <v>0</v>
      </c>
      <c r="H74" s="4" t="str">
        <f t="shared" si="0"/>
        <v>9332.jpg</v>
      </c>
    </row>
    <row r="75" spans="2:8" x14ac:dyDescent="0.35">
      <c r="B75" s="16" t="s">
        <v>3</v>
      </c>
      <c r="C75" t="s">
        <v>119</v>
      </c>
      <c r="D75" s="17">
        <v>8</v>
      </c>
      <c r="F75" s="10">
        <v>10</v>
      </c>
      <c r="G75" s="10">
        <v>400</v>
      </c>
      <c r="H75" s="4" t="str">
        <f t="shared" si="0"/>
        <v>14810HT.jpg</v>
      </c>
    </row>
    <row r="76" spans="2:8" x14ac:dyDescent="0.35">
      <c r="B76" s="16">
        <v>15232</v>
      </c>
      <c r="C76" t="s">
        <v>120</v>
      </c>
      <c r="D76" s="17">
        <v>8</v>
      </c>
      <c r="F76" s="10">
        <v>0</v>
      </c>
      <c r="G76" s="10">
        <v>380</v>
      </c>
      <c r="H76" s="4" t="str">
        <f t="shared" ref="H76:H97" si="2">+B76&amp;(".jpg")</f>
        <v>15232.jpg</v>
      </c>
    </row>
    <row r="77" spans="2:8" x14ac:dyDescent="0.35">
      <c r="B77" s="16">
        <v>15235</v>
      </c>
      <c r="C77" t="s">
        <v>121</v>
      </c>
      <c r="D77" s="17">
        <v>8</v>
      </c>
      <c r="F77" s="10">
        <v>0</v>
      </c>
      <c r="G77" s="10">
        <v>250</v>
      </c>
      <c r="H77" s="4" t="str">
        <f t="shared" si="2"/>
        <v>15235.jpg</v>
      </c>
    </row>
    <row r="78" spans="2:8" x14ac:dyDescent="0.35">
      <c r="B78" s="16">
        <v>15238</v>
      </c>
      <c r="C78" t="s">
        <v>122</v>
      </c>
      <c r="D78" s="17">
        <v>8</v>
      </c>
      <c r="F78" s="10">
        <v>0</v>
      </c>
      <c r="G78" s="10">
        <v>960</v>
      </c>
      <c r="H78" s="4" t="str">
        <f t="shared" si="2"/>
        <v>15238.jpg</v>
      </c>
    </row>
    <row r="79" spans="2:8" x14ac:dyDescent="0.35">
      <c r="B79" s="16">
        <v>15244</v>
      </c>
      <c r="C79" t="s">
        <v>123</v>
      </c>
      <c r="D79" s="17">
        <v>8</v>
      </c>
      <c r="F79" s="10">
        <v>0</v>
      </c>
      <c r="G79" s="10">
        <v>0</v>
      </c>
      <c r="H79" s="4" t="str">
        <f t="shared" si="2"/>
        <v>15244.jpg</v>
      </c>
    </row>
    <row r="80" spans="2:8" x14ac:dyDescent="0.35">
      <c r="B80" s="16">
        <v>15714</v>
      </c>
      <c r="C80" t="s">
        <v>124</v>
      </c>
      <c r="D80" s="17">
        <v>8</v>
      </c>
      <c r="F80" s="10">
        <v>15</v>
      </c>
      <c r="G80" s="10">
        <v>400</v>
      </c>
      <c r="H80" s="4" t="str">
        <f t="shared" si="2"/>
        <v>15714.jpg</v>
      </c>
    </row>
    <row r="81" spans="2:8" x14ac:dyDescent="0.35">
      <c r="B81" s="16">
        <v>15733</v>
      </c>
      <c r="C81" t="s">
        <v>125</v>
      </c>
      <c r="D81" s="17">
        <v>8</v>
      </c>
      <c r="F81" s="10">
        <v>0</v>
      </c>
      <c r="G81" s="10">
        <v>380</v>
      </c>
      <c r="H81" s="4" t="str">
        <f t="shared" si="2"/>
        <v>15733.jpg</v>
      </c>
    </row>
    <row r="82" spans="2:8" x14ac:dyDescent="0.35">
      <c r="B82" s="16">
        <v>23396</v>
      </c>
      <c r="C82" t="s">
        <v>126</v>
      </c>
      <c r="D82" s="17">
        <v>8</v>
      </c>
      <c r="F82" s="10">
        <v>20</v>
      </c>
      <c r="G82" s="10">
        <v>250</v>
      </c>
      <c r="H82" s="4" t="str">
        <f t="shared" si="2"/>
        <v>23396.jpg</v>
      </c>
    </row>
    <row r="83" spans="2:8" x14ac:dyDescent="0.35">
      <c r="B83" s="16">
        <v>70355</v>
      </c>
      <c r="C83" t="s">
        <v>127</v>
      </c>
      <c r="D83" s="17">
        <v>1</v>
      </c>
      <c r="F83" s="10">
        <v>30</v>
      </c>
      <c r="G83" s="10">
        <v>960</v>
      </c>
      <c r="H83" s="4" t="str">
        <f t="shared" si="2"/>
        <v>70355.jpg</v>
      </c>
    </row>
    <row r="84" spans="2:8" x14ac:dyDescent="0.35">
      <c r="B84" s="16">
        <v>80866</v>
      </c>
      <c r="C84" t="s">
        <v>128</v>
      </c>
      <c r="D84" s="17">
        <v>8</v>
      </c>
      <c r="F84" s="10">
        <v>35</v>
      </c>
      <c r="G84" s="10">
        <v>0</v>
      </c>
      <c r="H84" s="4" t="str">
        <f t="shared" si="2"/>
        <v>80866.jpg</v>
      </c>
    </row>
    <row r="85" spans="2:8" x14ac:dyDescent="0.35">
      <c r="B85" s="16">
        <v>92164</v>
      </c>
      <c r="C85" t="s">
        <v>129</v>
      </c>
      <c r="D85" s="17">
        <v>5</v>
      </c>
      <c r="F85" s="10">
        <v>0</v>
      </c>
      <c r="G85" s="10">
        <v>250</v>
      </c>
      <c r="H85" s="4" t="str">
        <f t="shared" si="2"/>
        <v>92164.jpg</v>
      </c>
    </row>
    <row r="86" spans="2:8" x14ac:dyDescent="0.35">
      <c r="B86" s="16">
        <v>154627</v>
      </c>
      <c r="C86" t="s">
        <v>130</v>
      </c>
      <c r="D86" s="17">
        <v>3</v>
      </c>
      <c r="F86" s="10">
        <v>0</v>
      </c>
      <c r="G86" s="10">
        <v>1000</v>
      </c>
      <c r="H86" s="4" t="str">
        <f t="shared" si="2"/>
        <v>154627.jpg</v>
      </c>
    </row>
    <row r="87" spans="2:8" x14ac:dyDescent="0.35">
      <c r="B87" s="16">
        <v>210262</v>
      </c>
      <c r="C87" t="s">
        <v>131</v>
      </c>
      <c r="D87" s="17">
        <v>3</v>
      </c>
      <c r="F87" s="10">
        <v>10</v>
      </c>
      <c r="G87" s="10">
        <v>2000</v>
      </c>
      <c r="H87" s="4" t="str">
        <f t="shared" si="2"/>
        <v>210262.jpg</v>
      </c>
    </row>
    <row r="88" spans="2:8" x14ac:dyDescent="0.35">
      <c r="B88" s="16">
        <v>253245</v>
      </c>
      <c r="C88" t="s">
        <v>132</v>
      </c>
      <c r="D88" s="17">
        <v>3</v>
      </c>
      <c r="F88" s="10">
        <v>0</v>
      </c>
      <c r="G88" s="10">
        <v>3000</v>
      </c>
      <c r="H88" s="4" t="str">
        <f t="shared" si="2"/>
        <v>253245.jpg</v>
      </c>
    </row>
    <row r="89" spans="2:8" x14ac:dyDescent="0.35">
      <c r="B89" s="16">
        <v>540673</v>
      </c>
      <c r="C89" t="s">
        <v>133</v>
      </c>
      <c r="D89" s="17">
        <v>3</v>
      </c>
      <c r="F89" s="10">
        <v>0</v>
      </c>
      <c r="G89" s="10">
        <v>0</v>
      </c>
      <c r="H89" s="4" t="str">
        <f t="shared" si="2"/>
        <v>540673.jpg</v>
      </c>
    </row>
    <row r="90" spans="2:8" x14ac:dyDescent="0.35">
      <c r="B90" s="16">
        <v>541625</v>
      </c>
      <c r="C90" t="s">
        <v>134</v>
      </c>
      <c r="D90" s="17">
        <v>3</v>
      </c>
      <c r="F90" s="10">
        <v>0</v>
      </c>
      <c r="G90" s="10">
        <v>400</v>
      </c>
      <c r="H90" s="4" t="str">
        <f t="shared" si="2"/>
        <v>541625.jpg</v>
      </c>
    </row>
    <row r="91" spans="2:8" x14ac:dyDescent="0.35">
      <c r="B91" s="16">
        <v>603064</v>
      </c>
      <c r="C91" t="s">
        <v>135</v>
      </c>
      <c r="D91" s="17">
        <v>3</v>
      </c>
      <c r="F91" s="10">
        <v>0</v>
      </c>
      <c r="G91" s="10">
        <v>380</v>
      </c>
      <c r="H91" s="4" t="str">
        <f t="shared" si="2"/>
        <v>603064.jpg</v>
      </c>
    </row>
    <row r="92" spans="2:8" x14ac:dyDescent="0.35">
      <c r="B92" s="16">
        <v>920253</v>
      </c>
      <c r="C92" t="s">
        <v>136</v>
      </c>
      <c r="D92" s="17">
        <v>2</v>
      </c>
      <c r="F92" s="10">
        <v>15</v>
      </c>
      <c r="G92" s="10">
        <v>250</v>
      </c>
      <c r="H92" s="4" t="str">
        <f t="shared" si="2"/>
        <v>920253.jpg</v>
      </c>
    </row>
    <row r="93" spans="2:8" x14ac:dyDescent="0.35">
      <c r="B93" s="16">
        <v>924640</v>
      </c>
      <c r="C93" t="s">
        <v>137</v>
      </c>
      <c r="D93" s="17">
        <v>6</v>
      </c>
      <c r="F93" s="10">
        <v>0</v>
      </c>
      <c r="G93" s="10">
        <v>960</v>
      </c>
      <c r="H93" s="4" t="str">
        <f t="shared" si="2"/>
        <v>924640.jpg</v>
      </c>
    </row>
    <row r="94" spans="2:8" x14ac:dyDescent="0.35">
      <c r="B94" s="16">
        <v>925500</v>
      </c>
      <c r="C94" t="s">
        <v>138</v>
      </c>
      <c r="D94" s="17">
        <v>8</v>
      </c>
      <c r="F94" s="10">
        <v>20</v>
      </c>
      <c r="G94" s="10">
        <v>0</v>
      </c>
      <c r="H94" s="4" t="str">
        <f t="shared" si="2"/>
        <v>925500.jpg</v>
      </c>
    </row>
    <row r="95" spans="2:8" x14ac:dyDescent="0.35">
      <c r="B95" s="16">
        <v>926774</v>
      </c>
      <c r="C95" t="s">
        <v>139</v>
      </c>
      <c r="D95" s="17">
        <v>8</v>
      </c>
      <c r="F95" s="10">
        <v>30</v>
      </c>
      <c r="G95" s="10">
        <v>400</v>
      </c>
      <c r="H95" s="4" t="str">
        <f t="shared" si="2"/>
        <v>926774.jpg</v>
      </c>
    </row>
    <row r="96" spans="2:8" x14ac:dyDescent="0.35">
      <c r="B96" s="16">
        <v>926781</v>
      </c>
      <c r="C96" t="s">
        <v>140</v>
      </c>
      <c r="D96" s="17">
        <v>5</v>
      </c>
      <c r="F96" s="10">
        <v>35</v>
      </c>
      <c r="G96" s="10">
        <v>380</v>
      </c>
      <c r="H96" s="4" t="str">
        <f t="shared" si="2"/>
        <v>926781.jpg</v>
      </c>
    </row>
    <row r="97" spans="2:8" x14ac:dyDescent="0.35">
      <c r="B97" s="16">
        <v>278300001</v>
      </c>
      <c r="C97" t="s">
        <v>141</v>
      </c>
      <c r="D97" s="17">
        <v>6</v>
      </c>
      <c r="F97" s="10">
        <v>0</v>
      </c>
      <c r="G97" s="10">
        <v>250</v>
      </c>
      <c r="H97" s="4" t="str">
        <f t="shared" si="2"/>
        <v>278300001.jpg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89"/>
  <sheetViews>
    <sheetView tabSelected="1" zoomScale="70" zoomScaleNormal="70" workbookViewId="0">
      <selection activeCell="F4" sqref="F4"/>
    </sheetView>
  </sheetViews>
  <sheetFormatPr baseColWidth="10" defaultRowHeight="14.5" x14ac:dyDescent="0.35"/>
  <cols>
    <col min="1" max="1" width="23" customWidth="1"/>
    <col min="2" max="2" width="68" bestFit="1" customWidth="1"/>
    <col min="3" max="3" width="11.1796875" customWidth="1"/>
    <col min="4" max="4" width="24.1796875" customWidth="1"/>
    <col min="11" max="11" width="17.26953125" bestFit="1" customWidth="1"/>
  </cols>
  <sheetData>
    <row r="2" spans="1:12" x14ac:dyDescent="0.35">
      <c r="A2" t="s">
        <v>53</v>
      </c>
      <c r="B2" t="s">
        <v>54</v>
      </c>
      <c r="C2" t="s">
        <v>55</v>
      </c>
      <c r="D2" t="s">
        <v>56</v>
      </c>
    </row>
    <row r="3" spans="1:12" ht="21" x14ac:dyDescent="0.35">
      <c r="A3" s="11">
        <v>75</v>
      </c>
      <c r="B3" s="14" t="s">
        <v>57</v>
      </c>
      <c r="C3" s="14">
        <v>1330</v>
      </c>
      <c r="D3" s="12" t="s">
        <v>49</v>
      </c>
      <c r="E3">
        <f>+VLOOKUP(D3,$K$3:$L$10,2,0)</f>
        <v>6</v>
      </c>
      <c r="F3">
        <f>IF(ISERROR(FIND(".",C3,1)),C3,FIND(".",C3,1))</f>
        <v>1330</v>
      </c>
      <c r="K3" s="12" t="s">
        <v>49</v>
      </c>
      <c r="L3">
        <v>6</v>
      </c>
    </row>
    <row r="4" spans="1:12" ht="21" x14ac:dyDescent="0.35">
      <c r="A4" s="11">
        <v>76</v>
      </c>
      <c r="B4" s="14" t="s">
        <v>58</v>
      </c>
      <c r="C4" s="14" t="s">
        <v>147</v>
      </c>
      <c r="D4" s="12" t="s">
        <v>49</v>
      </c>
      <c r="E4">
        <f t="shared" ref="E4:E67" si="0">+VLOOKUP(D4,$K$3:$L$10,2,0)</f>
        <v>6</v>
      </c>
      <c r="F4">
        <f t="shared" ref="F4:F67" si="1">IF(ISERROR(FIND(".",C4,1)),C4,FIND(".",C4,1))</f>
        <v>5</v>
      </c>
      <c r="K4" s="12" t="s">
        <v>50</v>
      </c>
      <c r="L4">
        <v>8</v>
      </c>
    </row>
    <row r="5" spans="1:12" ht="21" x14ac:dyDescent="0.35">
      <c r="A5" s="11">
        <v>209</v>
      </c>
      <c r="B5" s="14" t="s">
        <v>59</v>
      </c>
      <c r="C5" s="14" t="s">
        <v>148</v>
      </c>
      <c r="D5" s="12" t="s">
        <v>50</v>
      </c>
      <c r="E5">
        <f t="shared" si="0"/>
        <v>8</v>
      </c>
      <c r="F5">
        <f t="shared" si="1"/>
        <v>4</v>
      </c>
      <c r="K5" s="12" t="s">
        <v>144</v>
      </c>
      <c r="L5">
        <v>1</v>
      </c>
    </row>
    <row r="6" spans="1:12" ht="21" x14ac:dyDescent="0.35">
      <c r="A6" s="11">
        <v>221</v>
      </c>
      <c r="B6" s="14" t="s">
        <v>60</v>
      </c>
      <c r="C6" s="14" t="s">
        <v>149</v>
      </c>
      <c r="D6" s="12" t="s">
        <v>50</v>
      </c>
      <c r="E6">
        <f t="shared" si="0"/>
        <v>8</v>
      </c>
      <c r="F6">
        <f t="shared" si="1"/>
        <v>5</v>
      </c>
      <c r="K6" s="12" t="s">
        <v>48</v>
      </c>
      <c r="L6">
        <v>7</v>
      </c>
    </row>
    <row r="7" spans="1:12" ht="21" x14ac:dyDescent="0.35">
      <c r="A7" s="11">
        <v>701</v>
      </c>
      <c r="B7" s="14" t="s">
        <v>61</v>
      </c>
      <c r="C7" s="14" t="s">
        <v>150</v>
      </c>
      <c r="D7" s="12" t="s">
        <v>144</v>
      </c>
      <c r="E7">
        <f t="shared" si="0"/>
        <v>1</v>
      </c>
      <c r="F7">
        <f t="shared" si="1"/>
        <v>5</v>
      </c>
      <c r="K7" s="12" t="s">
        <v>142</v>
      </c>
      <c r="L7">
        <v>4</v>
      </c>
    </row>
    <row r="8" spans="1:12" ht="21" x14ac:dyDescent="0.35">
      <c r="A8" s="11">
        <v>728</v>
      </c>
      <c r="B8" s="14" t="s">
        <v>62</v>
      </c>
      <c r="C8" s="14" t="s">
        <v>151</v>
      </c>
      <c r="D8" s="12" t="s">
        <v>144</v>
      </c>
      <c r="E8">
        <f t="shared" si="0"/>
        <v>1</v>
      </c>
      <c r="F8">
        <f t="shared" si="1"/>
        <v>5</v>
      </c>
      <c r="K8" s="12" t="s">
        <v>51</v>
      </c>
      <c r="L8">
        <v>3</v>
      </c>
    </row>
    <row r="9" spans="1:12" ht="21" x14ac:dyDescent="0.35">
      <c r="A9" s="11">
        <v>760</v>
      </c>
      <c r="B9" s="14" t="s">
        <v>63</v>
      </c>
      <c r="C9" s="14" t="s">
        <v>152</v>
      </c>
      <c r="D9" s="12" t="s">
        <v>48</v>
      </c>
      <c r="E9">
        <f t="shared" si="0"/>
        <v>7</v>
      </c>
      <c r="F9">
        <f t="shared" si="1"/>
        <v>5</v>
      </c>
      <c r="K9" s="12" t="s">
        <v>143</v>
      </c>
      <c r="L9">
        <v>5</v>
      </c>
    </row>
    <row r="10" spans="1:12" ht="21" x14ac:dyDescent="0.35">
      <c r="A10" s="11">
        <v>761</v>
      </c>
      <c r="B10" s="14" t="s">
        <v>64</v>
      </c>
      <c r="C10" s="14">
        <v>1260</v>
      </c>
      <c r="D10" s="12" t="s">
        <v>48</v>
      </c>
      <c r="E10">
        <f t="shared" si="0"/>
        <v>7</v>
      </c>
      <c r="F10">
        <f t="shared" si="1"/>
        <v>1260</v>
      </c>
      <c r="K10" s="12" t="s">
        <v>52</v>
      </c>
      <c r="L10">
        <v>2</v>
      </c>
    </row>
    <row r="11" spans="1:12" ht="21" x14ac:dyDescent="0.35">
      <c r="A11" s="11">
        <v>769</v>
      </c>
      <c r="B11" s="14" t="s">
        <v>65</v>
      </c>
      <c r="C11" s="14">
        <v>1792</v>
      </c>
      <c r="D11" s="12" t="s">
        <v>48</v>
      </c>
      <c r="E11">
        <f t="shared" si="0"/>
        <v>7</v>
      </c>
      <c r="F11">
        <f t="shared" si="1"/>
        <v>1792</v>
      </c>
    </row>
    <row r="12" spans="1:12" ht="21" x14ac:dyDescent="0.35">
      <c r="A12" s="11">
        <v>770</v>
      </c>
      <c r="B12" s="14" t="s">
        <v>66</v>
      </c>
      <c r="C12" s="14" t="s">
        <v>153</v>
      </c>
      <c r="D12" s="12" t="s">
        <v>49</v>
      </c>
      <c r="E12">
        <f t="shared" si="0"/>
        <v>6</v>
      </c>
      <c r="F12">
        <f t="shared" si="1"/>
        <v>5</v>
      </c>
    </row>
    <row r="13" spans="1:12" ht="21" x14ac:dyDescent="0.35">
      <c r="A13" s="11">
        <v>782</v>
      </c>
      <c r="B13" s="14" t="s">
        <v>67</v>
      </c>
      <c r="C13" s="14" t="s">
        <v>154</v>
      </c>
      <c r="D13" s="12" t="s">
        <v>142</v>
      </c>
      <c r="E13">
        <f t="shared" si="0"/>
        <v>4</v>
      </c>
      <c r="F13">
        <f t="shared" si="1"/>
        <v>5</v>
      </c>
    </row>
    <row r="14" spans="1:12" ht="21" x14ac:dyDescent="0.35">
      <c r="A14" s="11">
        <v>1377</v>
      </c>
      <c r="B14" s="14" t="s">
        <v>68</v>
      </c>
      <c r="C14" s="14" t="s">
        <v>155</v>
      </c>
      <c r="D14" s="12" t="s">
        <v>48</v>
      </c>
      <c r="E14">
        <f t="shared" si="0"/>
        <v>7</v>
      </c>
      <c r="F14">
        <f t="shared" si="1"/>
        <v>6</v>
      </c>
    </row>
    <row r="15" spans="1:12" ht="21" x14ac:dyDescent="0.35">
      <c r="A15" s="11">
        <v>1604</v>
      </c>
      <c r="B15" s="14" t="s">
        <v>69</v>
      </c>
      <c r="C15" s="14" t="s">
        <v>156</v>
      </c>
      <c r="D15" s="12" t="s">
        <v>50</v>
      </c>
      <c r="E15">
        <f t="shared" si="0"/>
        <v>8</v>
      </c>
      <c r="F15">
        <f t="shared" si="1"/>
        <v>5</v>
      </c>
    </row>
    <row r="16" spans="1:12" ht="21" x14ac:dyDescent="0.35">
      <c r="A16" s="11" t="s">
        <v>0</v>
      </c>
      <c r="B16" s="14" t="s">
        <v>70</v>
      </c>
      <c r="C16" s="14" t="s">
        <v>157</v>
      </c>
      <c r="D16" s="12" t="s">
        <v>50</v>
      </c>
      <c r="E16">
        <f t="shared" si="0"/>
        <v>8</v>
      </c>
      <c r="F16">
        <f t="shared" si="1"/>
        <v>5</v>
      </c>
    </row>
    <row r="17" spans="1:6" ht="21" x14ac:dyDescent="0.35">
      <c r="A17" s="11">
        <v>1647</v>
      </c>
      <c r="B17" s="14" t="s">
        <v>71</v>
      </c>
      <c r="C17" s="14" t="s">
        <v>158</v>
      </c>
      <c r="D17" s="12" t="s">
        <v>50</v>
      </c>
      <c r="E17">
        <f t="shared" si="0"/>
        <v>8</v>
      </c>
      <c r="F17">
        <f t="shared" si="1"/>
        <v>5</v>
      </c>
    </row>
    <row r="18" spans="1:6" ht="21" x14ac:dyDescent="0.35">
      <c r="A18" s="11">
        <v>3010</v>
      </c>
      <c r="B18" s="14" t="s">
        <v>73</v>
      </c>
      <c r="C18" s="14" t="s">
        <v>159</v>
      </c>
      <c r="D18" s="12" t="s">
        <v>51</v>
      </c>
      <c r="E18">
        <f t="shared" si="0"/>
        <v>3</v>
      </c>
      <c r="F18">
        <f t="shared" si="1"/>
        <v>5</v>
      </c>
    </row>
    <row r="19" spans="1:6" ht="21" x14ac:dyDescent="0.35">
      <c r="A19" s="11">
        <v>3011</v>
      </c>
      <c r="B19" s="14" t="s">
        <v>74</v>
      </c>
      <c r="C19" s="14">
        <v>1288</v>
      </c>
      <c r="D19" s="12" t="s">
        <v>51</v>
      </c>
      <c r="E19">
        <f t="shared" si="0"/>
        <v>3</v>
      </c>
      <c r="F19">
        <f t="shared" si="1"/>
        <v>1288</v>
      </c>
    </row>
    <row r="20" spans="1:6" ht="21" x14ac:dyDescent="0.35">
      <c r="A20" s="11">
        <v>3057</v>
      </c>
      <c r="B20" s="14" t="s">
        <v>75</v>
      </c>
      <c r="C20" s="14" t="s">
        <v>160</v>
      </c>
      <c r="D20" s="12" t="s">
        <v>51</v>
      </c>
      <c r="E20">
        <f t="shared" si="0"/>
        <v>3</v>
      </c>
      <c r="F20">
        <f t="shared" si="1"/>
        <v>5</v>
      </c>
    </row>
    <row r="21" spans="1:6" ht="21" x14ac:dyDescent="0.35">
      <c r="A21" s="11">
        <v>3060</v>
      </c>
      <c r="B21" s="14" t="s">
        <v>76</v>
      </c>
      <c r="C21" s="14" t="s">
        <v>156</v>
      </c>
      <c r="D21" s="12" t="s">
        <v>51</v>
      </c>
      <c r="E21">
        <f t="shared" si="0"/>
        <v>3</v>
      </c>
      <c r="F21">
        <f t="shared" si="1"/>
        <v>5</v>
      </c>
    </row>
    <row r="22" spans="1:6" ht="21" x14ac:dyDescent="0.35">
      <c r="A22" s="11">
        <v>3096</v>
      </c>
      <c r="B22" s="14" t="s">
        <v>77</v>
      </c>
      <c r="C22" s="14" t="s">
        <v>161</v>
      </c>
      <c r="D22" s="12" t="s">
        <v>51</v>
      </c>
      <c r="E22">
        <f t="shared" si="0"/>
        <v>3</v>
      </c>
      <c r="F22">
        <f t="shared" si="1"/>
        <v>5</v>
      </c>
    </row>
    <row r="23" spans="1:6" ht="21" x14ac:dyDescent="0.35">
      <c r="A23" s="11">
        <v>3603</v>
      </c>
      <c r="B23" s="14" t="s">
        <v>78</v>
      </c>
      <c r="C23" s="14">
        <v>2730</v>
      </c>
      <c r="D23" s="12" t="s">
        <v>48</v>
      </c>
      <c r="E23">
        <f t="shared" si="0"/>
        <v>7</v>
      </c>
      <c r="F23">
        <f t="shared" si="1"/>
        <v>2730</v>
      </c>
    </row>
    <row r="24" spans="1:6" ht="21" x14ac:dyDescent="0.35">
      <c r="A24" s="11">
        <v>3692</v>
      </c>
      <c r="B24" s="14" t="s">
        <v>79</v>
      </c>
      <c r="C24" s="14" t="s">
        <v>162</v>
      </c>
      <c r="D24" s="12" t="s">
        <v>48</v>
      </c>
      <c r="E24">
        <f t="shared" si="0"/>
        <v>7</v>
      </c>
      <c r="F24">
        <f t="shared" si="1"/>
        <v>5</v>
      </c>
    </row>
    <row r="25" spans="1:6" ht="21" x14ac:dyDescent="0.35">
      <c r="A25" s="11">
        <v>3800</v>
      </c>
      <c r="B25" s="14" t="s">
        <v>80</v>
      </c>
      <c r="C25" s="14" t="s">
        <v>163</v>
      </c>
      <c r="D25" s="12" t="s">
        <v>143</v>
      </c>
      <c r="E25">
        <f t="shared" si="0"/>
        <v>5</v>
      </c>
      <c r="F25">
        <f t="shared" si="1"/>
        <v>5</v>
      </c>
    </row>
    <row r="26" spans="1:6" ht="21" x14ac:dyDescent="0.35">
      <c r="A26" s="11">
        <v>3807</v>
      </c>
      <c r="B26" s="14" t="s">
        <v>81</v>
      </c>
      <c r="C26" s="14" t="s">
        <v>154</v>
      </c>
      <c r="D26" s="12" t="s">
        <v>51</v>
      </c>
      <c r="E26">
        <f t="shared" si="0"/>
        <v>3</v>
      </c>
      <c r="F26">
        <f t="shared" si="1"/>
        <v>5</v>
      </c>
    </row>
    <row r="27" spans="1:6" ht="21" x14ac:dyDescent="0.35">
      <c r="A27" s="11">
        <v>3808</v>
      </c>
      <c r="B27" s="14" t="s">
        <v>82</v>
      </c>
      <c r="C27" s="14" t="s">
        <v>164</v>
      </c>
      <c r="D27" s="12" t="s">
        <v>51</v>
      </c>
      <c r="E27">
        <f t="shared" si="0"/>
        <v>3</v>
      </c>
      <c r="F27">
        <f t="shared" si="1"/>
        <v>5</v>
      </c>
    </row>
    <row r="28" spans="1:6" ht="21" x14ac:dyDescent="0.35">
      <c r="A28" s="11">
        <v>3811</v>
      </c>
      <c r="B28" s="14" t="s">
        <v>83</v>
      </c>
      <c r="C28" s="14" t="s">
        <v>165</v>
      </c>
      <c r="D28" s="12" t="s">
        <v>143</v>
      </c>
      <c r="E28">
        <f t="shared" si="0"/>
        <v>5</v>
      </c>
      <c r="F28">
        <f t="shared" si="1"/>
        <v>5</v>
      </c>
    </row>
    <row r="29" spans="1:6" ht="21" x14ac:dyDescent="0.35">
      <c r="A29" s="11">
        <v>3856</v>
      </c>
      <c r="B29" s="14" t="s">
        <v>145</v>
      </c>
      <c r="C29" s="14" t="s">
        <v>166</v>
      </c>
      <c r="D29" s="12" t="s">
        <v>144</v>
      </c>
      <c r="E29">
        <f t="shared" si="0"/>
        <v>1</v>
      </c>
      <c r="F29">
        <f t="shared" si="1"/>
        <v>5</v>
      </c>
    </row>
    <row r="30" spans="1:6" ht="21" x14ac:dyDescent="0.35">
      <c r="A30" s="11">
        <v>3857</v>
      </c>
      <c r="B30" s="14" t="s">
        <v>146</v>
      </c>
      <c r="C30" s="14">
        <v>1274</v>
      </c>
      <c r="D30" s="12" t="s">
        <v>144</v>
      </c>
      <c r="E30">
        <f t="shared" si="0"/>
        <v>1</v>
      </c>
      <c r="F30">
        <f t="shared" si="1"/>
        <v>1274</v>
      </c>
    </row>
    <row r="31" spans="1:6" ht="21" x14ac:dyDescent="0.35">
      <c r="A31" s="11">
        <v>3864</v>
      </c>
      <c r="B31" s="14" t="s">
        <v>84</v>
      </c>
      <c r="C31" s="14" t="s">
        <v>167</v>
      </c>
      <c r="D31" s="12" t="s">
        <v>143</v>
      </c>
      <c r="E31">
        <f t="shared" si="0"/>
        <v>5</v>
      </c>
      <c r="F31">
        <f t="shared" si="1"/>
        <v>5</v>
      </c>
    </row>
    <row r="32" spans="1:6" ht="21" x14ac:dyDescent="0.35">
      <c r="A32" s="11">
        <v>3882</v>
      </c>
      <c r="B32" s="14" t="s">
        <v>85</v>
      </c>
      <c r="C32" s="14" t="s">
        <v>168</v>
      </c>
      <c r="D32" s="12" t="s">
        <v>143</v>
      </c>
      <c r="E32">
        <f t="shared" si="0"/>
        <v>5</v>
      </c>
      <c r="F32">
        <f t="shared" si="1"/>
        <v>5</v>
      </c>
    </row>
    <row r="33" spans="1:6" ht="21" x14ac:dyDescent="0.35">
      <c r="A33" s="11">
        <v>3886</v>
      </c>
      <c r="B33" s="14" t="s">
        <v>86</v>
      </c>
      <c r="C33" s="14" t="s">
        <v>169</v>
      </c>
      <c r="D33" s="12" t="s">
        <v>143</v>
      </c>
      <c r="E33">
        <f t="shared" si="0"/>
        <v>5</v>
      </c>
      <c r="F33">
        <f t="shared" si="1"/>
        <v>5</v>
      </c>
    </row>
    <row r="34" spans="1:6" ht="21" x14ac:dyDescent="0.35">
      <c r="A34" s="11">
        <v>3957</v>
      </c>
      <c r="B34" s="14" t="s">
        <v>87</v>
      </c>
      <c r="C34" s="14" t="s">
        <v>170</v>
      </c>
      <c r="D34" s="12" t="s">
        <v>143</v>
      </c>
      <c r="E34">
        <f t="shared" si="0"/>
        <v>5</v>
      </c>
      <c r="F34">
        <f t="shared" si="1"/>
        <v>5</v>
      </c>
    </row>
    <row r="35" spans="1:6" ht="21" x14ac:dyDescent="0.35">
      <c r="A35" s="11">
        <v>4304</v>
      </c>
      <c r="B35" s="14" t="s">
        <v>88</v>
      </c>
      <c r="C35" s="14">
        <v>1106</v>
      </c>
      <c r="D35" s="12" t="s">
        <v>49</v>
      </c>
      <c r="E35">
        <f t="shared" si="0"/>
        <v>6</v>
      </c>
      <c r="F35">
        <f t="shared" si="1"/>
        <v>1106</v>
      </c>
    </row>
    <row r="36" spans="1:6" ht="21" x14ac:dyDescent="0.35">
      <c r="A36" s="11">
        <v>4390</v>
      </c>
      <c r="B36" s="14" t="s">
        <v>89</v>
      </c>
      <c r="C36" s="14" t="s">
        <v>171</v>
      </c>
      <c r="D36" s="12" t="s">
        <v>49</v>
      </c>
      <c r="E36">
        <f t="shared" si="0"/>
        <v>6</v>
      </c>
      <c r="F36">
        <f t="shared" si="1"/>
        <v>4</v>
      </c>
    </row>
    <row r="37" spans="1:6" ht="21" x14ac:dyDescent="0.35">
      <c r="A37" s="11">
        <v>5001</v>
      </c>
      <c r="B37" s="14" t="s">
        <v>90</v>
      </c>
      <c r="C37" s="14" t="s">
        <v>172</v>
      </c>
      <c r="D37" s="12" t="s">
        <v>52</v>
      </c>
      <c r="E37">
        <f t="shared" si="0"/>
        <v>2</v>
      </c>
      <c r="F37">
        <f t="shared" si="1"/>
        <v>5</v>
      </c>
    </row>
    <row r="38" spans="1:6" ht="21" x14ac:dyDescent="0.35">
      <c r="A38" s="11">
        <v>5110</v>
      </c>
      <c r="B38" s="14" t="s">
        <v>72</v>
      </c>
      <c r="C38" s="14" t="s">
        <v>173</v>
      </c>
      <c r="D38" s="12" t="s">
        <v>48</v>
      </c>
      <c r="E38">
        <f t="shared" si="0"/>
        <v>7</v>
      </c>
      <c r="F38">
        <f t="shared" si="1"/>
        <v>5</v>
      </c>
    </row>
    <row r="39" spans="1:6" ht="21" x14ac:dyDescent="0.35">
      <c r="A39" s="11">
        <v>5292</v>
      </c>
      <c r="B39" s="14" t="s">
        <v>91</v>
      </c>
      <c r="C39" s="14" t="s">
        <v>174</v>
      </c>
      <c r="D39" s="12" t="s">
        <v>49</v>
      </c>
      <c r="E39">
        <f t="shared" si="0"/>
        <v>6</v>
      </c>
      <c r="F39">
        <f t="shared" si="1"/>
        <v>5</v>
      </c>
    </row>
    <row r="40" spans="1:6" ht="21" x14ac:dyDescent="0.35">
      <c r="A40" s="11">
        <v>5293</v>
      </c>
      <c r="B40" s="14" t="s">
        <v>92</v>
      </c>
      <c r="C40" s="14" t="s">
        <v>175</v>
      </c>
      <c r="D40" s="12" t="s">
        <v>49</v>
      </c>
      <c r="E40">
        <f t="shared" si="0"/>
        <v>6</v>
      </c>
      <c r="F40">
        <f t="shared" si="1"/>
        <v>5</v>
      </c>
    </row>
    <row r="41" spans="1:6" ht="21" x14ac:dyDescent="0.35">
      <c r="A41" s="11">
        <v>5298</v>
      </c>
      <c r="B41" s="14" t="s">
        <v>93</v>
      </c>
      <c r="C41" s="14">
        <v>1960</v>
      </c>
      <c r="D41" s="12" t="s">
        <v>52</v>
      </c>
      <c r="E41">
        <f t="shared" si="0"/>
        <v>2</v>
      </c>
      <c r="F41">
        <f t="shared" si="1"/>
        <v>1960</v>
      </c>
    </row>
    <row r="42" spans="1:6" ht="21" x14ac:dyDescent="0.35">
      <c r="A42" s="11">
        <v>5303</v>
      </c>
      <c r="B42" s="14" t="s">
        <v>94</v>
      </c>
      <c r="C42" s="14" t="s">
        <v>176</v>
      </c>
      <c r="D42" s="12" t="s">
        <v>48</v>
      </c>
      <c r="E42">
        <f t="shared" si="0"/>
        <v>7</v>
      </c>
      <c r="F42">
        <f t="shared" si="1"/>
        <v>5</v>
      </c>
    </row>
    <row r="43" spans="1:6" ht="21" x14ac:dyDescent="0.35">
      <c r="A43" s="11">
        <v>5314</v>
      </c>
      <c r="B43" s="14" t="s">
        <v>95</v>
      </c>
      <c r="C43" s="14" t="s">
        <v>177</v>
      </c>
      <c r="D43" s="12" t="s">
        <v>48</v>
      </c>
      <c r="E43">
        <f t="shared" si="0"/>
        <v>7</v>
      </c>
      <c r="F43">
        <f t="shared" si="1"/>
        <v>5</v>
      </c>
    </row>
    <row r="44" spans="1:6" ht="21" x14ac:dyDescent="0.35">
      <c r="A44" s="11">
        <v>5321</v>
      </c>
      <c r="B44" s="14" t="s">
        <v>96</v>
      </c>
      <c r="C44" s="14" t="s">
        <v>178</v>
      </c>
      <c r="D44" s="12" t="s">
        <v>48</v>
      </c>
      <c r="E44">
        <f t="shared" si="0"/>
        <v>7</v>
      </c>
      <c r="F44">
        <f t="shared" si="1"/>
        <v>5</v>
      </c>
    </row>
    <row r="45" spans="1:6" ht="21" x14ac:dyDescent="0.35">
      <c r="A45" s="11">
        <v>5349</v>
      </c>
      <c r="B45" s="14" t="s">
        <v>97</v>
      </c>
      <c r="C45" s="14">
        <v>6104</v>
      </c>
      <c r="D45" s="12" t="s">
        <v>48</v>
      </c>
      <c r="E45">
        <f t="shared" si="0"/>
        <v>7</v>
      </c>
      <c r="F45">
        <f t="shared" si="1"/>
        <v>6104</v>
      </c>
    </row>
    <row r="46" spans="1:6" ht="21" x14ac:dyDescent="0.35">
      <c r="A46" s="11">
        <v>5541</v>
      </c>
      <c r="B46" s="14" t="s">
        <v>98</v>
      </c>
      <c r="C46" s="14" t="s">
        <v>179</v>
      </c>
      <c r="D46" s="12" t="s">
        <v>142</v>
      </c>
      <c r="E46">
        <f t="shared" si="0"/>
        <v>4</v>
      </c>
      <c r="F46">
        <f t="shared" si="1"/>
        <v>5</v>
      </c>
    </row>
    <row r="47" spans="1:6" ht="21" x14ac:dyDescent="0.35">
      <c r="A47" s="11">
        <v>5600</v>
      </c>
      <c r="B47" s="14" t="s">
        <v>99</v>
      </c>
      <c r="C47" s="14" t="s">
        <v>180</v>
      </c>
      <c r="D47" s="12" t="s">
        <v>52</v>
      </c>
      <c r="E47">
        <f t="shared" si="0"/>
        <v>2</v>
      </c>
      <c r="F47">
        <f t="shared" si="1"/>
        <v>5</v>
      </c>
    </row>
    <row r="48" spans="1:6" ht="21" x14ac:dyDescent="0.35">
      <c r="A48" s="11">
        <v>5671</v>
      </c>
      <c r="B48" s="14" t="s">
        <v>100</v>
      </c>
      <c r="C48" s="14" t="s">
        <v>181</v>
      </c>
      <c r="D48" s="12" t="s">
        <v>52</v>
      </c>
      <c r="E48">
        <f t="shared" si="0"/>
        <v>2</v>
      </c>
      <c r="F48">
        <f t="shared" si="1"/>
        <v>5</v>
      </c>
    </row>
    <row r="49" spans="1:6" ht="21" x14ac:dyDescent="0.35">
      <c r="A49" s="11">
        <v>5680</v>
      </c>
      <c r="B49" s="14" t="s">
        <v>101</v>
      </c>
      <c r="C49" s="14" t="s">
        <v>182</v>
      </c>
      <c r="D49" s="12" t="s">
        <v>49</v>
      </c>
      <c r="E49">
        <f t="shared" si="0"/>
        <v>6</v>
      </c>
      <c r="F49">
        <f t="shared" si="1"/>
        <v>5</v>
      </c>
    </row>
    <row r="50" spans="1:6" ht="21" x14ac:dyDescent="0.35">
      <c r="A50" s="11">
        <v>5681</v>
      </c>
      <c r="B50" s="14" t="s">
        <v>102</v>
      </c>
      <c r="C50" s="14" t="s">
        <v>156</v>
      </c>
      <c r="D50" s="12" t="s">
        <v>52</v>
      </c>
      <c r="E50">
        <f t="shared" si="0"/>
        <v>2</v>
      </c>
      <c r="F50">
        <f t="shared" si="1"/>
        <v>5</v>
      </c>
    </row>
    <row r="51" spans="1:6" ht="21" x14ac:dyDescent="0.35">
      <c r="A51" s="11">
        <v>5781</v>
      </c>
      <c r="B51" s="14" t="s">
        <v>103</v>
      </c>
      <c r="C51" s="14" t="s">
        <v>183</v>
      </c>
      <c r="D51" s="12" t="s">
        <v>48</v>
      </c>
      <c r="E51">
        <f t="shared" si="0"/>
        <v>7</v>
      </c>
      <c r="F51">
        <f t="shared" si="1"/>
        <v>5</v>
      </c>
    </row>
    <row r="52" spans="1:6" ht="21" x14ac:dyDescent="0.35">
      <c r="A52" s="11">
        <v>5782</v>
      </c>
      <c r="B52" s="14" t="s">
        <v>104</v>
      </c>
      <c r="C52" s="14" t="s">
        <v>184</v>
      </c>
      <c r="D52" s="12" t="s">
        <v>48</v>
      </c>
      <c r="E52">
        <f t="shared" si="0"/>
        <v>7</v>
      </c>
      <c r="F52">
        <f t="shared" si="1"/>
        <v>5</v>
      </c>
    </row>
    <row r="53" spans="1:6" ht="21" x14ac:dyDescent="0.35">
      <c r="A53" s="11">
        <v>6293</v>
      </c>
      <c r="B53" s="14" t="s">
        <v>105</v>
      </c>
      <c r="C53" s="14" t="s">
        <v>185</v>
      </c>
      <c r="D53" s="12" t="s">
        <v>50</v>
      </c>
      <c r="E53">
        <f t="shared" si="0"/>
        <v>8</v>
      </c>
      <c r="F53">
        <f t="shared" si="1"/>
        <v>4</v>
      </c>
    </row>
    <row r="54" spans="1:6" ht="21" x14ac:dyDescent="0.35">
      <c r="A54" s="11">
        <v>7082</v>
      </c>
      <c r="B54" s="14" t="s">
        <v>106</v>
      </c>
      <c r="C54" s="14" t="s">
        <v>186</v>
      </c>
      <c r="D54" s="12" t="s">
        <v>48</v>
      </c>
      <c r="E54">
        <f t="shared" si="0"/>
        <v>7</v>
      </c>
      <c r="F54">
        <f t="shared" si="1"/>
        <v>5</v>
      </c>
    </row>
    <row r="55" spans="1:6" ht="21" x14ac:dyDescent="0.35">
      <c r="A55" s="11">
        <v>7500</v>
      </c>
      <c r="B55" s="14" t="s">
        <v>107</v>
      </c>
      <c r="C55" s="14" t="s">
        <v>187</v>
      </c>
      <c r="D55" s="12" t="s">
        <v>51</v>
      </c>
      <c r="E55">
        <f t="shared" si="0"/>
        <v>3</v>
      </c>
      <c r="F55">
        <f t="shared" si="1"/>
        <v>5</v>
      </c>
    </row>
    <row r="56" spans="1:6" ht="21" x14ac:dyDescent="0.35">
      <c r="A56" s="11">
        <v>7504</v>
      </c>
      <c r="B56" s="14" t="s">
        <v>108</v>
      </c>
      <c r="C56" s="14" t="s">
        <v>188</v>
      </c>
      <c r="D56" s="12" t="s">
        <v>51</v>
      </c>
      <c r="E56">
        <f t="shared" si="0"/>
        <v>3</v>
      </c>
      <c r="F56">
        <f t="shared" si="1"/>
        <v>5</v>
      </c>
    </row>
    <row r="57" spans="1:6" ht="21" x14ac:dyDescent="0.35">
      <c r="A57" s="11">
        <v>7518</v>
      </c>
      <c r="B57" s="14" t="s">
        <v>109</v>
      </c>
      <c r="C57" s="14" t="s">
        <v>189</v>
      </c>
      <c r="D57" s="12" t="s">
        <v>51</v>
      </c>
      <c r="E57">
        <f t="shared" si="0"/>
        <v>3</v>
      </c>
      <c r="F57">
        <f t="shared" si="1"/>
        <v>5</v>
      </c>
    </row>
    <row r="58" spans="1:6" ht="21" x14ac:dyDescent="0.35">
      <c r="A58" s="11">
        <v>7696</v>
      </c>
      <c r="B58" s="14" t="s">
        <v>110</v>
      </c>
      <c r="C58" s="14" t="s">
        <v>190</v>
      </c>
      <c r="D58" s="12" t="s">
        <v>48</v>
      </c>
      <c r="E58">
        <f t="shared" si="0"/>
        <v>7</v>
      </c>
      <c r="F58">
        <f t="shared" si="1"/>
        <v>5</v>
      </c>
    </row>
    <row r="59" spans="1:6" ht="21" x14ac:dyDescent="0.35">
      <c r="A59" s="11">
        <v>8019</v>
      </c>
      <c r="B59" s="14" t="s">
        <v>111</v>
      </c>
      <c r="C59" s="14" t="s">
        <v>191</v>
      </c>
      <c r="D59" s="12" t="s">
        <v>48</v>
      </c>
      <c r="E59">
        <f t="shared" si="0"/>
        <v>7</v>
      </c>
      <c r="F59">
        <f t="shared" si="1"/>
        <v>6</v>
      </c>
    </row>
    <row r="60" spans="1:6" ht="21" x14ac:dyDescent="0.35">
      <c r="A60" s="11">
        <v>8114</v>
      </c>
      <c r="B60" s="14" t="s">
        <v>112</v>
      </c>
      <c r="C60" s="14">
        <v>10654</v>
      </c>
      <c r="D60" s="12" t="s">
        <v>48</v>
      </c>
      <c r="E60">
        <f t="shared" si="0"/>
        <v>7</v>
      </c>
      <c r="F60">
        <f t="shared" si="1"/>
        <v>10654</v>
      </c>
    </row>
    <row r="61" spans="1:6" ht="21" x14ac:dyDescent="0.35">
      <c r="A61" s="11">
        <v>8437</v>
      </c>
      <c r="B61" s="14" t="s">
        <v>113</v>
      </c>
      <c r="C61" s="14">
        <v>11858</v>
      </c>
      <c r="D61" s="12" t="s">
        <v>48</v>
      </c>
      <c r="E61">
        <f t="shared" si="0"/>
        <v>7</v>
      </c>
      <c r="F61">
        <f t="shared" si="1"/>
        <v>11858</v>
      </c>
    </row>
    <row r="62" spans="1:6" ht="21" x14ac:dyDescent="0.35">
      <c r="A62" s="11">
        <v>9017</v>
      </c>
      <c r="B62" s="14" t="s">
        <v>114</v>
      </c>
      <c r="C62" s="14" t="s">
        <v>192</v>
      </c>
      <c r="D62" s="12" t="s">
        <v>50</v>
      </c>
      <c r="E62">
        <f t="shared" si="0"/>
        <v>8</v>
      </c>
      <c r="F62">
        <f t="shared" si="1"/>
        <v>5</v>
      </c>
    </row>
    <row r="63" spans="1:6" ht="21" x14ac:dyDescent="0.35">
      <c r="A63" s="11">
        <v>9124</v>
      </c>
      <c r="B63" s="14" t="s">
        <v>115</v>
      </c>
      <c r="C63" s="14" t="s">
        <v>193</v>
      </c>
      <c r="D63" s="12" t="s">
        <v>51</v>
      </c>
      <c r="E63">
        <f t="shared" si="0"/>
        <v>3</v>
      </c>
      <c r="F63">
        <f t="shared" si="1"/>
        <v>5</v>
      </c>
    </row>
    <row r="64" spans="1:6" ht="21" x14ac:dyDescent="0.35">
      <c r="A64" s="11">
        <v>9138</v>
      </c>
      <c r="B64" s="14" t="s">
        <v>116</v>
      </c>
      <c r="C64" s="14" t="s">
        <v>194</v>
      </c>
      <c r="D64" s="12" t="s">
        <v>51</v>
      </c>
      <c r="E64">
        <f t="shared" si="0"/>
        <v>3</v>
      </c>
      <c r="F64">
        <f t="shared" si="1"/>
        <v>5</v>
      </c>
    </row>
    <row r="65" spans="1:6" ht="21" x14ac:dyDescent="0.35">
      <c r="A65" s="11">
        <v>9322</v>
      </c>
      <c r="B65" s="14" t="s">
        <v>117</v>
      </c>
      <c r="C65" s="14" t="s">
        <v>195</v>
      </c>
      <c r="D65" s="12" t="s">
        <v>51</v>
      </c>
      <c r="E65">
        <f t="shared" si="0"/>
        <v>3</v>
      </c>
      <c r="F65">
        <f t="shared" si="1"/>
        <v>5</v>
      </c>
    </row>
    <row r="66" spans="1:6" ht="21" x14ac:dyDescent="0.35">
      <c r="A66" s="11">
        <v>9332</v>
      </c>
      <c r="B66" s="14" t="s">
        <v>118</v>
      </c>
      <c r="C66" s="14" t="s">
        <v>196</v>
      </c>
      <c r="D66" s="12" t="s">
        <v>51</v>
      </c>
      <c r="E66">
        <f t="shared" si="0"/>
        <v>3</v>
      </c>
      <c r="F66">
        <f t="shared" si="1"/>
        <v>5</v>
      </c>
    </row>
    <row r="67" spans="1:6" ht="21" x14ac:dyDescent="0.35">
      <c r="A67" s="11" t="s">
        <v>3</v>
      </c>
      <c r="B67" s="14" t="s">
        <v>119</v>
      </c>
      <c r="C67" s="14" t="s">
        <v>197</v>
      </c>
      <c r="D67" s="12" t="s">
        <v>50</v>
      </c>
      <c r="E67">
        <f t="shared" si="0"/>
        <v>8</v>
      </c>
      <c r="F67">
        <f t="shared" si="1"/>
        <v>5</v>
      </c>
    </row>
    <row r="68" spans="1:6" ht="21" x14ac:dyDescent="0.35">
      <c r="A68" s="11">
        <v>15232</v>
      </c>
      <c r="B68" s="14" t="s">
        <v>120</v>
      </c>
      <c r="C68" s="14">
        <v>840</v>
      </c>
      <c r="D68" s="12" t="s">
        <v>50</v>
      </c>
      <c r="E68">
        <f t="shared" ref="E68:E89" si="2">+VLOOKUP(D68,$K$3:$L$10,2,0)</f>
        <v>8</v>
      </c>
      <c r="F68">
        <f t="shared" ref="F68:F89" si="3">IF(ISERROR(FIND(".",C68,1)),C68,FIND(".",C68,1))</f>
        <v>840</v>
      </c>
    </row>
    <row r="69" spans="1:6" ht="21" x14ac:dyDescent="0.35">
      <c r="A69" s="11">
        <v>15235</v>
      </c>
      <c r="B69" s="14" t="s">
        <v>121</v>
      </c>
      <c r="C69" s="14" t="s">
        <v>198</v>
      </c>
      <c r="D69" s="12" t="s">
        <v>50</v>
      </c>
      <c r="E69">
        <f t="shared" si="2"/>
        <v>8</v>
      </c>
      <c r="F69">
        <f t="shared" si="3"/>
        <v>4</v>
      </c>
    </row>
    <row r="70" spans="1:6" ht="21" x14ac:dyDescent="0.35">
      <c r="A70" s="11">
        <v>15238</v>
      </c>
      <c r="B70" s="14" t="s">
        <v>122</v>
      </c>
      <c r="C70" s="14" t="s">
        <v>199</v>
      </c>
      <c r="D70" s="12" t="s">
        <v>50</v>
      </c>
      <c r="E70">
        <f t="shared" si="2"/>
        <v>8</v>
      </c>
      <c r="F70">
        <f t="shared" si="3"/>
        <v>4</v>
      </c>
    </row>
    <row r="71" spans="1:6" ht="21" x14ac:dyDescent="0.35">
      <c r="A71" s="11">
        <v>15244</v>
      </c>
      <c r="B71" s="14" t="s">
        <v>123</v>
      </c>
      <c r="C71" s="14" t="s">
        <v>200</v>
      </c>
      <c r="D71" s="12" t="s">
        <v>50</v>
      </c>
      <c r="E71">
        <f t="shared" si="2"/>
        <v>8</v>
      </c>
      <c r="F71">
        <f t="shared" si="3"/>
        <v>4</v>
      </c>
    </row>
    <row r="72" spans="1:6" ht="21" x14ac:dyDescent="0.35">
      <c r="A72" s="11">
        <v>15714</v>
      </c>
      <c r="B72" s="14" t="s">
        <v>124</v>
      </c>
      <c r="C72" s="14" t="s">
        <v>201</v>
      </c>
      <c r="D72" s="12" t="s">
        <v>50</v>
      </c>
      <c r="E72">
        <f t="shared" si="2"/>
        <v>8</v>
      </c>
      <c r="F72">
        <f t="shared" si="3"/>
        <v>5</v>
      </c>
    </row>
    <row r="73" spans="1:6" ht="21" x14ac:dyDescent="0.35">
      <c r="A73" s="11">
        <v>15733</v>
      </c>
      <c r="B73" s="14" t="s">
        <v>125</v>
      </c>
      <c r="C73" s="14">
        <v>602</v>
      </c>
      <c r="D73" s="12" t="s">
        <v>50</v>
      </c>
      <c r="E73">
        <f t="shared" si="2"/>
        <v>8</v>
      </c>
      <c r="F73">
        <f t="shared" si="3"/>
        <v>602</v>
      </c>
    </row>
    <row r="74" spans="1:6" ht="21" x14ac:dyDescent="0.35">
      <c r="A74" s="11">
        <v>23396</v>
      </c>
      <c r="B74" s="14" t="s">
        <v>126</v>
      </c>
      <c r="C74" s="14" t="s">
        <v>171</v>
      </c>
      <c r="D74" s="12" t="s">
        <v>50</v>
      </c>
      <c r="E74">
        <f t="shared" si="2"/>
        <v>8</v>
      </c>
      <c r="F74">
        <f t="shared" si="3"/>
        <v>4</v>
      </c>
    </row>
    <row r="75" spans="1:6" ht="21" x14ac:dyDescent="0.35">
      <c r="A75" s="11">
        <v>70355</v>
      </c>
      <c r="B75" s="14" t="s">
        <v>127</v>
      </c>
      <c r="C75" s="14" t="s">
        <v>202</v>
      </c>
      <c r="D75" s="12" t="s">
        <v>144</v>
      </c>
      <c r="E75">
        <f t="shared" si="2"/>
        <v>1</v>
      </c>
      <c r="F75">
        <f t="shared" si="3"/>
        <v>5</v>
      </c>
    </row>
    <row r="76" spans="1:6" ht="21" x14ac:dyDescent="0.35">
      <c r="A76" s="11">
        <v>80866</v>
      </c>
      <c r="B76" s="14" t="s">
        <v>128</v>
      </c>
      <c r="C76" s="14" t="s">
        <v>203</v>
      </c>
      <c r="D76" s="12" t="s">
        <v>50</v>
      </c>
      <c r="E76">
        <f t="shared" si="2"/>
        <v>8</v>
      </c>
      <c r="F76">
        <f t="shared" si="3"/>
        <v>6</v>
      </c>
    </row>
    <row r="77" spans="1:6" ht="21" x14ac:dyDescent="0.35">
      <c r="A77" s="11">
        <v>92164</v>
      </c>
      <c r="B77" s="14" t="s">
        <v>129</v>
      </c>
      <c r="C77" s="14">
        <v>22638</v>
      </c>
      <c r="D77" s="12" t="s">
        <v>143</v>
      </c>
      <c r="E77">
        <f t="shared" si="2"/>
        <v>5</v>
      </c>
      <c r="F77">
        <f t="shared" si="3"/>
        <v>22638</v>
      </c>
    </row>
    <row r="78" spans="1:6" ht="21" x14ac:dyDescent="0.35">
      <c r="A78" s="11">
        <v>154627</v>
      </c>
      <c r="B78" s="14" t="s">
        <v>130</v>
      </c>
      <c r="C78" s="14">
        <v>1470</v>
      </c>
      <c r="D78" s="12" t="s">
        <v>51</v>
      </c>
      <c r="E78">
        <f t="shared" si="2"/>
        <v>3</v>
      </c>
      <c r="F78">
        <f t="shared" si="3"/>
        <v>1470</v>
      </c>
    </row>
    <row r="79" spans="1:6" ht="21" x14ac:dyDescent="0.35">
      <c r="A79" s="11">
        <v>210262</v>
      </c>
      <c r="B79" s="14" t="s">
        <v>131</v>
      </c>
      <c r="C79" s="14" t="s">
        <v>204</v>
      </c>
      <c r="D79" s="12" t="s">
        <v>51</v>
      </c>
      <c r="E79">
        <f t="shared" si="2"/>
        <v>3</v>
      </c>
      <c r="F79">
        <f t="shared" si="3"/>
        <v>5</v>
      </c>
    </row>
    <row r="80" spans="1:6" ht="21" x14ac:dyDescent="0.35">
      <c r="A80" s="11">
        <v>253245</v>
      </c>
      <c r="B80" s="14" t="s">
        <v>132</v>
      </c>
      <c r="C80" s="14" t="s">
        <v>205</v>
      </c>
      <c r="D80" s="12" t="s">
        <v>51</v>
      </c>
      <c r="E80">
        <f t="shared" si="2"/>
        <v>3</v>
      </c>
      <c r="F80">
        <f t="shared" si="3"/>
        <v>5</v>
      </c>
    </row>
    <row r="81" spans="1:6" ht="21" x14ac:dyDescent="0.35">
      <c r="A81" s="11">
        <v>540673</v>
      </c>
      <c r="B81" s="14" t="s">
        <v>133</v>
      </c>
      <c r="C81" s="14">
        <v>1358</v>
      </c>
      <c r="D81" s="12" t="s">
        <v>51</v>
      </c>
      <c r="E81">
        <f t="shared" si="2"/>
        <v>3</v>
      </c>
      <c r="F81">
        <f t="shared" si="3"/>
        <v>1358</v>
      </c>
    </row>
    <row r="82" spans="1:6" ht="21" x14ac:dyDescent="0.35">
      <c r="A82" s="11">
        <v>541625</v>
      </c>
      <c r="B82" s="14" t="s">
        <v>134</v>
      </c>
      <c r="C82" s="14" t="s">
        <v>206</v>
      </c>
      <c r="D82" s="12" t="s">
        <v>51</v>
      </c>
      <c r="E82">
        <f t="shared" si="2"/>
        <v>3</v>
      </c>
      <c r="F82">
        <f t="shared" si="3"/>
        <v>5</v>
      </c>
    </row>
    <row r="83" spans="1:6" ht="21" x14ac:dyDescent="0.35">
      <c r="A83" s="11">
        <v>603064</v>
      </c>
      <c r="B83" s="14" t="s">
        <v>135</v>
      </c>
      <c r="C83" s="14" t="s">
        <v>207</v>
      </c>
      <c r="D83" s="12" t="s">
        <v>51</v>
      </c>
      <c r="E83">
        <f t="shared" si="2"/>
        <v>3</v>
      </c>
      <c r="F83">
        <f t="shared" si="3"/>
        <v>5</v>
      </c>
    </row>
    <row r="84" spans="1:6" ht="21" x14ac:dyDescent="0.35">
      <c r="A84" s="11">
        <v>920253</v>
      </c>
      <c r="B84" s="14" t="s">
        <v>136</v>
      </c>
      <c r="C84" s="14" t="s">
        <v>208</v>
      </c>
      <c r="D84" s="12" t="s">
        <v>52</v>
      </c>
      <c r="E84">
        <f t="shared" si="2"/>
        <v>2</v>
      </c>
      <c r="F84">
        <f t="shared" si="3"/>
        <v>5</v>
      </c>
    </row>
    <row r="85" spans="1:6" ht="21" x14ac:dyDescent="0.35">
      <c r="A85" s="11">
        <v>924640</v>
      </c>
      <c r="B85" s="14" t="s">
        <v>137</v>
      </c>
      <c r="C85" s="14" t="s">
        <v>209</v>
      </c>
      <c r="D85" s="12" t="s">
        <v>49</v>
      </c>
      <c r="E85">
        <f t="shared" si="2"/>
        <v>6</v>
      </c>
      <c r="F85">
        <f t="shared" si="3"/>
        <v>5</v>
      </c>
    </row>
    <row r="86" spans="1:6" ht="21" x14ac:dyDescent="0.35">
      <c r="A86" s="11">
        <v>925500</v>
      </c>
      <c r="B86" s="14" t="s">
        <v>138</v>
      </c>
      <c r="C86" s="14" t="s">
        <v>210</v>
      </c>
      <c r="D86" s="13" t="s">
        <v>50</v>
      </c>
      <c r="E86">
        <f t="shared" si="2"/>
        <v>8</v>
      </c>
      <c r="F86">
        <f t="shared" si="3"/>
        <v>5</v>
      </c>
    </row>
    <row r="87" spans="1:6" ht="21" x14ac:dyDescent="0.35">
      <c r="A87" s="11">
        <v>926774</v>
      </c>
      <c r="B87" s="14" t="s">
        <v>139</v>
      </c>
      <c r="C87" s="14" t="s">
        <v>206</v>
      </c>
      <c r="D87" s="13" t="s">
        <v>50</v>
      </c>
      <c r="E87">
        <f t="shared" si="2"/>
        <v>8</v>
      </c>
      <c r="F87">
        <f t="shared" si="3"/>
        <v>5</v>
      </c>
    </row>
    <row r="88" spans="1:6" ht="21" x14ac:dyDescent="0.35">
      <c r="A88" s="11">
        <v>926781</v>
      </c>
      <c r="B88" s="14" t="s">
        <v>140</v>
      </c>
      <c r="C88" s="14" t="s">
        <v>211</v>
      </c>
      <c r="D88" s="12" t="s">
        <v>143</v>
      </c>
      <c r="E88">
        <f t="shared" si="2"/>
        <v>5</v>
      </c>
      <c r="F88">
        <f t="shared" si="3"/>
        <v>5</v>
      </c>
    </row>
    <row r="89" spans="1:6" ht="21" x14ac:dyDescent="0.35">
      <c r="A89" s="11">
        <v>278300001</v>
      </c>
      <c r="B89" s="14" t="s">
        <v>141</v>
      </c>
      <c r="C89" s="14" t="s">
        <v>212</v>
      </c>
      <c r="D89" s="13" t="s">
        <v>49</v>
      </c>
      <c r="E89">
        <f t="shared" si="2"/>
        <v>6</v>
      </c>
      <c r="F89">
        <f t="shared" si="3"/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Hoja1</vt:lpstr>
      <vt:lpstr>Hoja2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2022-12-30T18:51:04Z</dcterms:modified>
</cp:coreProperties>
</file>