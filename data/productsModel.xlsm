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barce\Google Drive\Malén\Cursos\Programacion Web - DH\Proyecto Integrador\data\"/>
    </mc:Choice>
  </mc:AlternateContent>
  <bookViews>
    <workbookView xWindow="0" yWindow="0" windowWidth="19200" windowHeight="6930"/>
  </bookViews>
  <sheets>
    <sheet name="Datos" sheetId="1" r:id="rId1"/>
    <sheet name="JSON" sheetId="2" r:id="rId2"/>
  </sheets>
  <externalReferences>
    <externalReference r:id="rId3"/>
  </externalReferenc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6" i="1" l="1"/>
  <c r="F15" i="1"/>
  <c r="B16" i="1"/>
  <c r="B15" i="1"/>
  <c r="F14" i="1"/>
  <c r="F13" i="1"/>
  <c r="B14" i="1"/>
  <c r="B13" i="1"/>
  <c r="G18" i="1"/>
  <c r="G17" i="1"/>
  <c r="G16" i="1"/>
  <c r="G15" i="1"/>
  <c r="G14" i="1"/>
  <c r="G13" i="1"/>
  <c r="G12" i="1"/>
  <c r="G11" i="1"/>
  <c r="G10" i="1"/>
  <c r="G9" i="1"/>
  <c r="G8" i="1"/>
  <c r="G7" i="1"/>
  <c r="G6" i="1"/>
  <c r="G5" i="1"/>
  <c r="G4" i="1"/>
  <c r="G3" i="1"/>
  <c r="G2" i="1"/>
  <c r="F12" i="1"/>
  <c r="B12" i="1"/>
  <c r="F11" i="1"/>
  <c r="B11" i="1"/>
  <c r="F10" i="1"/>
  <c r="B10" i="1"/>
  <c r="F9" i="1"/>
  <c r="B9" i="1"/>
  <c r="F8" i="1"/>
  <c r="B8" i="1"/>
  <c r="F7" i="1"/>
  <c r="B7" i="1"/>
  <c r="F6" i="1"/>
  <c r="B6" i="1"/>
  <c r="F5" i="1"/>
  <c r="B5" i="1"/>
  <c r="F4" i="1"/>
  <c r="B4" i="1"/>
  <c r="F3" i="1"/>
  <c r="B3" i="1"/>
  <c r="F2" i="1"/>
  <c r="B2" i="1"/>
</calcChain>
</file>

<file path=xl/sharedStrings.xml><?xml version="1.0" encoding="utf-8"?>
<sst xmlns="http://schemas.openxmlformats.org/spreadsheetml/2006/main" count="56" uniqueCount="33">
  <si>
    <t>1639HT</t>
  </si>
  <si>
    <t>14801HT</t>
  </si>
  <si>
    <t>14806HT</t>
  </si>
  <si>
    <t>14810HT</t>
  </si>
  <si>
    <t>Vasos</t>
  </si>
  <si>
    <t>Copas</t>
  </si>
  <si>
    <t>Tazas</t>
  </si>
  <si>
    <t>Café</t>
  </si>
  <si>
    <t>Vino</t>
  </si>
  <si>
    <t>Champagne</t>
  </si>
  <si>
    <t>Cerveza</t>
  </si>
  <si>
    <t>id</t>
  </si>
  <si>
    <t>description</t>
  </si>
  <si>
    <t>category</t>
  </si>
  <si>
    <t>useType</t>
  </si>
  <si>
    <t>discount</t>
  </si>
  <si>
    <t>price</t>
  </si>
  <si>
    <t>image</t>
  </si>
  <si>
    <t>{"id":"1639HT","description":"Restaurant Basics - Vaso Mixing Glass 473 ml","category":"Vasos","useType":"Cerveza","discount":0,"price":1280.16,"image":"1639HT.jpg"},</t>
  </si>
  <si>
    <t>{"id":"3808","description":"Belgian Beer - Copa cerveza 473 ml","category":"Copas","useType":"Cerveza","discount":0.1,"price":1310.64,"image":"3808.jpg"},</t>
  </si>
  <si>
    <t>{"id":"5292","description":"Irish Coffee Recto 251 ml","category":"Tazas","useType":"Café","discount":0,"price":1374.14,"image":"5292.jpg"},</t>
  </si>
  <si>
    <t>{"id":"5293","description":"Irish Coffee Cónico 244 ml","category":"Tazas","useType":"Café","discount":0,"price":1059.18,"image":"5293.jpg"},</t>
  </si>
  <si>
    <t>{"id":"7504","description":"Vina - Copa Vino Alta 547 ml","category":"Copas","useType":"Vino","discount":0,"price":1470.66,"image":"7504.jpg"},</t>
  </si>
  <si>
    <t>{"id":"9322","description":"MR Prism -  Copa vino 384 ml","category":"Copas","useType":"Vino","discount":0,"price":2750.82,"image":"9322.jpg"},</t>
  </si>
  <si>
    <t>{"id":"9324","description":"MR Prism -  Copa vino 562 ml","category":"Copas","useType":"Vino","discount":0.1,"price":2837.18,"image":"9324.jpg"},</t>
  </si>
  <si>
    <t>{"id":"9332","description":"MR Prism - Copa Champagne 237 ml","category":"Copas","useType":"Champagne","discount":0,"price":2694.94,"image":"9332.jpg"},</t>
  </si>
  <si>
    <t>{"id":"14801HT","description":"English Pub Glass 592 ml","category":"Vasos","useType":"Cerveza","discount":0.2,"price":1026.16,"image":"14801HT.jpg"},</t>
  </si>
  <si>
    <t>{"id":"14806HT","description":"English Pub Glass 473 ml","category":"Vasos","useType":"Cerveza","discount":0.3,"price":1003.3,"image":"14806HT.jpg"},</t>
  </si>
  <si>
    <t>{"id":"14810HT","description":"English Pub Glass 296 ml","category":"Vasos","useType":"Cerveza","discount":0.35,"price":955.04,"image":"14810HT.jpg"},</t>
  </si>
  <si>
    <t>{"id":"440539","description":"L Esprit  Du Vin Copa de cata 220 ml.","category":"Copas","useType":"Vino","discount":0,"price":1231.9,"image":"440539.jpg"},</t>
  </si>
  <si>
    <t>{"id":"540628","description":"L Esprit  Du Vin Copa Vino 410 ml.","category":"Copas","useType":"Vino","discount":0,"price":1214.12,"image":"540628.jpg"},</t>
  </si>
  <si>
    <t>{"id":"540673","description":"L Esprit  Du Vin Copa Flauta 210 ml.","category":"Copas","useType":"Champagne","discount":0,"price":1231.9,"image":"540673.jpg"},</t>
  </si>
  <si>
    <t>{"id":"541625","description":"L Esprit  Du Vin Copa Vino  530 ml.","category":"Copas","useType":"Vino","discount":0,"price":1214.12,"image":"541625.jpg"},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</si>
</sst>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3" formatCode="_ * #,##0.00_ ;_ * \-#,##0.00_ ;_ * &quot;-&quot;??_ ;_ @_ 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8">
    <xf numFmtId="0" fontId="0" fillId="0" borderId="0" xfId="0"/>
    <xf numFmtId="0" fontId="0" fillId="0" borderId="1" xfId="0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0" fillId="0" borderId="1" xfId="0" applyBorder="1" applyAlignment="1">
      <alignment horizontal="left"/>
    </xf>
    <xf numFmtId="43" fontId="0" fillId="0" borderId="1" xfId="1" applyFont="1" applyBorder="1" applyAlignment="1">
      <alignment horizontal="center"/>
    </xf>
    <xf numFmtId="9" fontId="0" fillId="0" borderId="1" xfId="0" applyNumberFormat="1" applyBorder="1" applyAlignment="1">
      <alignment horizontal="center"/>
    </xf>
    <xf numFmtId="0" fontId="0" fillId="0" borderId="0" xfId="0" applyAlignment="1">
      <alignment wrapText="1"/>
    </xf>
    <xf numFmtId="0" fontId="0" fillId="0" borderId="0" xfId="0" quotePrefix="1"/>
  </cellXfs>
  <cellStyles count="2">
    <cellStyle name="Millares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.shortcut-targets-by-id\1gOtP3DLs26nwDj7yQrijcO5HqpCp4gUF\Precios%20Fabricas\Maestros\Argentina%20-%20Listas%20de%20Precio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VOT"/>
      <sheetName val="Listas generales"/>
      <sheetName val="Libbey"/>
      <sheetName val="Steelite"/>
      <sheetName val="JTC Dist"/>
      <sheetName val="JTC CF"/>
      <sheetName val="Carlisle"/>
      <sheetName val="Cobra Cart"/>
      <sheetName val="Uniglass"/>
      <sheetName val="Vollrath"/>
    </sheetNames>
    <sheetDataSet>
      <sheetData sheetId="0"/>
      <sheetData sheetId="1"/>
      <sheetData sheetId="2">
        <row r="7">
          <cell r="B7">
            <v>16</v>
          </cell>
          <cell r="C7" t="str">
            <v>Beer Sampler - Pilsner  177 ml</v>
          </cell>
          <cell r="D7">
            <v>820.42</v>
          </cell>
        </row>
        <row r="8">
          <cell r="B8">
            <v>75</v>
          </cell>
          <cell r="C8" t="str">
            <v>City - Tarro Cafetero 473 ml.</v>
          </cell>
          <cell r="D8">
            <v>1206.5</v>
          </cell>
        </row>
        <row r="9">
          <cell r="B9">
            <v>76</v>
          </cell>
          <cell r="C9" t="str">
            <v>Tarro Cafetero 399 ml.</v>
          </cell>
          <cell r="D9">
            <v>1183.6400000000001</v>
          </cell>
        </row>
        <row r="10">
          <cell r="B10">
            <v>102</v>
          </cell>
          <cell r="C10" t="str">
            <v>Camelot - Vaso Cooler 468 ml</v>
          </cell>
          <cell r="D10">
            <v>604.52</v>
          </cell>
        </row>
        <row r="11">
          <cell r="B11">
            <v>103</v>
          </cell>
          <cell r="C11" t="str">
            <v>Camelot - Vaso HB 369 ml</v>
          </cell>
          <cell r="D11">
            <v>548.64</v>
          </cell>
        </row>
        <row r="12">
          <cell r="B12">
            <v>105</v>
          </cell>
          <cell r="C12" t="str">
            <v>Cavana - Vaso HB 414 ml</v>
          </cell>
          <cell r="D12">
            <v>518.16</v>
          </cell>
        </row>
        <row r="13">
          <cell r="B13">
            <v>128</v>
          </cell>
          <cell r="C13" t="str">
            <v>Heavy Base - Vaso Whisky 266 ml</v>
          </cell>
          <cell r="D13">
            <v>800.1</v>
          </cell>
        </row>
        <row r="14">
          <cell r="B14">
            <v>165</v>
          </cell>
          <cell r="C14" t="str">
            <v>Vaso Agua 98 ml</v>
          </cell>
          <cell r="D14">
            <v>233.68</v>
          </cell>
        </row>
        <row r="15">
          <cell r="B15">
            <v>181</v>
          </cell>
          <cell r="C15" t="str">
            <v>New York - Vaso HB 400 ml</v>
          </cell>
          <cell r="D15">
            <v>535.93999999999994</v>
          </cell>
        </row>
        <row r="16">
          <cell r="B16">
            <v>209</v>
          </cell>
          <cell r="C16" t="str">
            <v>Glass Can - Vaso Lata 473 ml</v>
          </cell>
          <cell r="D16">
            <v>815.34</v>
          </cell>
        </row>
        <row r="17">
          <cell r="B17">
            <v>217</v>
          </cell>
          <cell r="C17" t="str">
            <v>Stemless - Vaso Vino 348 ml</v>
          </cell>
          <cell r="D17">
            <v>1092.2</v>
          </cell>
        </row>
        <row r="18">
          <cell r="B18">
            <v>221</v>
          </cell>
          <cell r="C18" t="str">
            <v>Stemless - Vaso Vino  503 ml</v>
          </cell>
          <cell r="D18">
            <v>1125.22</v>
          </cell>
        </row>
        <row r="19">
          <cell r="B19" t="str">
            <v>221/71438</v>
          </cell>
          <cell r="C19" t="str">
            <v>Stemless Red - Vaso Vino Rojo Transparente 503 ml</v>
          </cell>
          <cell r="D19">
            <v>1628.14</v>
          </cell>
        </row>
        <row r="20">
          <cell r="B20" t="str">
            <v>221/71439</v>
          </cell>
          <cell r="C20" t="str">
            <v>Stemless Green - Vaso Vino Verde Transparente  503 ml</v>
          </cell>
          <cell r="D20">
            <v>1628.14</v>
          </cell>
        </row>
        <row r="21">
          <cell r="B21">
            <v>222</v>
          </cell>
          <cell r="C21" t="str">
            <v>Stemless - Vaso Vino tinto 495 ml</v>
          </cell>
          <cell r="D21">
            <v>1125.22</v>
          </cell>
        </row>
        <row r="22">
          <cell r="B22">
            <v>224</v>
          </cell>
          <cell r="C22" t="str">
            <v>Stemless - Vaso Martini 399 ml</v>
          </cell>
          <cell r="D22">
            <v>1173.48</v>
          </cell>
        </row>
        <row r="23">
          <cell r="B23">
            <v>228</v>
          </cell>
          <cell r="C23" t="str">
            <v>Stemless - Vaso Flauta Champagne 251 ml</v>
          </cell>
          <cell r="D23">
            <v>1061.72</v>
          </cell>
        </row>
        <row r="24">
          <cell r="B24">
            <v>231</v>
          </cell>
          <cell r="C24" t="str">
            <v>Stemless - Vaso Vino Fondo Grueso 451 ml</v>
          </cell>
          <cell r="D24">
            <v>1203.96</v>
          </cell>
        </row>
        <row r="25">
          <cell r="B25">
            <v>245</v>
          </cell>
          <cell r="C25" t="str">
            <v>Beer Sampler - Mini Pilsner 74 ml</v>
          </cell>
          <cell r="D25">
            <v>683.26</v>
          </cell>
        </row>
        <row r="26">
          <cell r="B26">
            <v>260</v>
          </cell>
          <cell r="C26" t="str">
            <v>Stemless - Vaso Taster 185 ml</v>
          </cell>
          <cell r="D26">
            <v>861.06000000000006</v>
          </cell>
        </row>
        <row r="27">
          <cell r="B27">
            <v>265</v>
          </cell>
          <cell r="C27" t="str">
            <v>Glass Can - Sampler 148 ml</v>
          </cell>
          <cell r="D27">
            <v>533.4</v>
          </cell>
        </row>
        <row r="28">
          <cell r="B28">
            <v>280</v>
          </cell>
          <cell r="C28" t="str">
            <v>Mini bowl 155 ml</v>
          </cell>
          <cell r="D28">
            <v>673.1</v>
          </cell>
        </row>
        <row r="29">
          <cell r="B29">
            <v>526</v>
          </cell>
          <cell r="C29" t="str">
            <v>Pinnacle - Vaso Cerveza 414 ml</v>
          </cell>
          <cell r="D29">
            <v>1219.2</v>
          </cell>
        </row>
        <row r="30">
          <cell r="B30">
            <v>527</v>
          </cell>
          <cell r="C30" t="str">
            <v>Pinnacle - Vaso Cerveza 474 ml</v>
          </cell>
          <cell r="D30">
            <v>1236.98</v>
          </cell>
        </row>
        <row r="31">
          <cell r="B31">
            <v>701</v>
          </cell>
          <cell r="C31" t="str">
            <v>Swerve - Botella refresco con tapa 565 ml</v>
          </cell>
          <cell r="D31">
            <v>2232.66</v>
          </cell>
        </row>
        <row r="32">
          <cell r="B32">
            <v>728</v>
          </cell>
          <cell r="C32" t="str">
            <v>Swerve - Botella refresco con tapa 651 ml</v>
          </cell>
          <cell r="D32">
            <v>2176.7800000000002</v>
          </cell>
        </row>
        <row r="33">
          <cell r="B33">
            <v>759</v>
          </cell>
          <cell r="C33" t="str">
            <v>Tempo - Plato Cuadrado 26 cms</v>
          </cell>
          <cell r="D33">
            <v>1724.66</v>
          </cell>
        </row>
        <row r="34">
          <cell r="B34">
            <v>760</v>
          </cell>
          <cell r="C34" t="str">
            <v>Tempo - Plato Cuadrado 20,3 cms</v>
          </cell>
          <cell r="D34">
            <v>1122.68</v>
          </cell>
        </row>
        <row r="35">
          <cell r="B35">
            <v>761</v>
          </cell>
          <cell r="C35" t="str">
            <v>Tempo - Bowl Cuadrado 14 cms</v>
          </cell>
          <cell r="D35">
            <v>1143</v>
          </cell>
        </row>
        <row r="36">
          <cell r="B36">
            <v>762</v>
          </cell>
          <cell r="C36" t="str">
            <v>Tempo - Bowl Cuadrado 10,7 cms</v>
          </cell>
          <cell r="D36">
            <v>980.43999999999994</v>
          </cell>
        </row>
        <row r="37">
          <cell r="B37">
            <v>763</v>
          </cell>
          <cell r="C37" t="str">
            <v>Tempo - Plato Cuadrado 15,2 cms</v>
          </cell>
          <cell r="D37">
            <v>947.42</v>
          </cell>
        </row>
        <row r="38">
          <cell r="B38">
            <v>764</v>
          </cell>
          <cell r="C38" t="str">
            <v>Tempo - Plato Cuadrado 22,8 cms</v>
          </cell>
          <cell r="D38">
            <v>1376.68</v>
          </cell>
        </row>
        <row r="39">
          <cell r="B39">
            <v>769</v>
          </cell>
          <cell r="C39" t="str">
            <v>Tempo - Fuente Rectangular 24 x 13 cms</v>
          </cell>
          <cell r="D39">
            <v>1625.6000000000001</v>
          </cell>
        </row>
        <row r="40">
          <cell r="B40">
            <v>770</v>
          </cell>
          <cell r="C40" t="str">
            <v>Tempo - Taza Café 300 ml</v>
          </cell>
          <cell r="D40">
            <v>993.14</v>
          </cell>
        </row>
        <row r="41">
          <cell r="B41">
            <v>771</v>
          </cell>
          <cell r="C41" t="str">
            <v>Tempo - Mini Bowl Rectangular 261 ml</v>
          </cell>
          <cell r="D41">
            <v>840.74</v>
          </cell>
        </row>
        <row r="42">
          <cell r="B42">
            <v>782</v>
          </cell>
          <cell r="C42" t="str">
            <v>Decantador para copa 296 ml</v>
          </cell>
          <cell r="D42">
            <v>1272.54</v>
          </cell>
        </row>
        <row r="43">
          <cell r="B43">
            <v>902</v>
          </cell>
          <cell r="C43" t="str">
            <v>Cenicero Triangular 8,6 cms</v>
          </cell>
          <cell r="D43">
            <v>370.84</v>
          </cell>
        </row>
        <row r="44">
          <cell r="B44">
            <v>961</v>
          </cell>
          <cell r="C44" t="str">
            <v xml:space="preserve">Votivo Estriado 83 ml    </v>
          </cell>
          <cell r="D44">
            <v>228.6</v>
          </cell>
        </row>
        <row r="45">
          <cell r="B45">
            <v>971</v>
          </cell>
          <cell r="C45" t="str">
            <v>Tequilero - Shot 31 ml</v>
          </cell>
          <cell r="D45">
            <v>208.28</v>
          </cell>
        </row>
        <row r="46">
          <cell r="B46">
            <v>972</v>
          </cell>
          <cell r="C46" t="str">
            <v>Tequilero - Shot 41 ml</v>
          </cell>
          <cell r="D46">
            <v>254</v>
          </cell>
        </row>
        <row r="47">
          <cell r="B47">
            <v>973</v>
          </cell>
          <cell r="C47" t="str">
            <v>Tequilero - Shot 59 ml</v>
          </cell>
          <cell r="D47">
            <v>304.8</v>
          </cell>
        </row>
        <row r="48">
          <cell r="B48">
            <v>1377</v>
          </cell>
          <cell r="C48" t="str">
            <v>Contempo - Juego de vajilla 20 piezas</v>
          </cell>
          <cell r="D48">
            <v>18318.48</v>
          </cell>
        </row>
        <row r="49">
          <cell r="B49">
            <v>1604</v>
          </cell>
          <cell r="C49" t="str">
            <v>Pilsner - Vaso 473 ml</v>
          </cell>
          <cell r="D49">
            <v>1242.06</v>
          </cell>
        </row>
        <row r="50">
          <cell r="B50">
            <v>1623</v>
          </cell>
          <cell r="C50" t="str">
            <v>Giant Beer - Vaso Cerveza 680 ml</v>
          </cell>
          <cell r="D50">
            <v>1513.84</v>
          </cell>
        </row>
        <row r="51">
          <cell r="B51" t="str">
            <v>1639HT</v>
          </cell>
          <cell r="C51" t="str">
            <v>Restaurant Basics - Vaso Mixing Glass 473 ml</v>
          </cell>
          <cell r="D51">
            <v>1280.1600000000001</v>
          </cell>
        </row>
        <row r="52">
          <cell r="B52">
            <v>1647</v>
          </cell>
          <cell r="C52" t="str">
            <v>Craft Brews - Vaso IPA 473 ml</v>
          </cell>
          <cell r="D52">
            <v>1226.82</v>
          </cell>
        </row>
        <row r="53">
          <cell r="B53">
            <v>1650</v>
          </cell>
          <cell r="C53" t="str">
            <v>Chicago - Vaso Cordial 74 ml</v>
          </cell>
          <cell r="D53">
            <v>698.5</v>
          </cell>
        </row>
        <row r="54">
          <cell r="B54">
            <v>2212</v>
          </cell>
          <cell r="C54" t="str">
            <v>Soda - Copa Milk Shake 355 ml</v>
          </cell>
          <cell r="D54">
            <v>1150.6200000000001</v>
          </cell>
        </row>
        <row r="55">
          <cell r="B55">
            <v>2247</v>
          </cell>
          <cell r="C55" t="str">
            <v>Chabela - Copa Postre 630 ml</v>
          </cell>
          <cell r="D55">
            <v>2359.66</v>
          </cell>
        </row>
        <row r="56">
          <cell r="B56">
            <v>2251</v>
          </cell>
          <cell r="C56" t="str">
            <v>Copa Brandy Extra Grande 7,5 lts..</v>
          </cell>
          <cell r="D56">
            <v>8333.74</v>
          </cell>
        </row>
        <row r="57">
          <cell r="B57">
            <v>2261</v>
          </cell>
          <cell r="C57" t="str">
            <v>Suprema - Copa Postre Cuadrada 610 ml</v>
          </cell>
          <cell r="D57">
            <v>2275.84</v>
          </cell>
        </row>
        <row r="58">
          <cell r="B58" t="str">
            <v>2290SR</v>
          </cell>
          <cell r="C58" t="str">
            <v>Envy - Vaso Jugo 207 ml - Corte Frío</v>
          </cell>
          <cell r="D58">
            <v>982.98</v>
          </cell>
        </row>
        <row r="59">
          <cell r="B59" t="str">
            <v>2292SR</v>
          </cell>
          <cell r="C59" t="str">
            <v>Envy - Vaso Rocks 325 ml - Corte Frío</v>
          </cell>
          <cell r="D59">
            <v>985.52</v>
          </cell>
        </row>
        <row r="60">
          <cell r="B60" t="str">
            <v>2294SR</v>
          </cell>
          <cell r="C60" t="str">
            <v>Envy - Vaso Beverage 354 ml - Corte Frío</v>
          </cell>
          <cell r="D60">
            <v>988.06000000000006</v>
          </cell>
        </row>
        <row r="61">
          <cell r="B61" t="str">
            <v>2296SR</v>
          </cell>
          <cell r="C61" t="str">
            <v>Envy - Vaso Cooler 474 ml - Corte Frío</v>
          </cell>
          <cell r="D61">
            <v>1018.54</v>
          </cell>
        </row>
        <row r="62">
          <cell r="B62">
            <v>2315</v>
          </cell>
          <cell r="C62" t="str">
            <v>Copón Margarita Grande 2,05 lts..</v>
          </cell>
          <cell r="D62">
            <v>7711.44</v>
          </cell>
        </row>
        <row r="63">
          <cell r="B63">
            <v>2391</v>
          </cell>
          <cell r="C63" t="str">
            <v>Perception - Vaso Rocks 207 ml</v>
          </cell>
          <cell r="D63">
            <v>754.38</v>
          </cell>
        </row>
        <row r="64">
          <cell r="B64">
            <v>2643</v>
          </cell>
          <cell r="C64" t="str">
            <v>Copón Martini 1,48 lts.</v>
          </cell>
          <cell r="D64">
            <v>7645.4000000000005</v>
          </cell>
        </row>
        <row r="65">
          <cell r="B65">
            <v>3010</v>
          </cell>
          <cell r="C65" t="str">
            <v>Perception - Copa de Cerveza 414 ml</v>
          </cell>
          <cell r="D65">
            <v>1132.8399999999999</v>
          </cell>
        </row>
        <row r="66">
          <cell r="B66">
            <v>3011</v>
          </cell>
          <cell r="C66" t="str">
            <v>Perception - Copa de Agua 414 ml</v>
          </cell>
          <cell r="D66">
            <v>1168.3999999999999</v>
          </cell>
        </row>
        <row r="67">
          <cell r="B67">
            <v>3057</v>
          </cell>
          <cell r="C67" t="str">
            <v>Perception - Copa de Vino 325 ml</v>
          </cell>
          <cell r="D67">
            <v>1127.76</v>
          </cell>
        </row>
        <row r="68">
          <cell r="B68">
            <v>3060</v>
          </cell>
          <cell r="C68" t="str">
            <v>Perception - Copa Vino Alta 591 ml</v>
          </cell>
          <cell r="D68">
            <v>1242.06</v>
          </cell>
        </row>
        <row r="69">
          <cell r="B69">
            <v>3065</v>
          </cell>
          <cell r="C69" t="str">
            <v>Perception - Copa de Vino 237 ml</v>
          </cell>
          <cell r="D69">
            <v>1097.28</v>
          </cell>
        </row>
        <row r="70">
          <cell r="B70">
            <v>3096</v>
          </cell>
          <cell r="C70" t="str">
            <v>Perception - Copa Champagne Flauta 170 ml</v>
          </cell>
          <cell r="D70">
            <v>1102.3599999999999</v>
          </cell>
        </row>
        <row r="71">
          <cell r="B71">
            <v>3419</v>
          </cell>
          <cell r="C71" t="str">
            <v>Splash - Copa Postre 355 ml</v>
          </cell>
          <cell r="D71">
            <v>1508.76</v>
          </cell>
        </row>
        <row r="72">
          <cell r="B72">
            <v>3603</v>
          </cell>
          <cell r="C72" t="str">
            <v>Camelot - Hielera 1,5 lts..</v>
          </cell>
          <cell r="D72">
            <v>2476.5</v>
          </cell>
        </row>
        <row r="73">
          <cell r="B73">
            <v>3616</v>
          </cell>
          <cell r="C73" t="str">
            <v>Hurricane - Copa Squall 444 ml</v>
          </cell>
          <cell r="D73">
            <v>1526.54</v>
          </cell>
        </row>
        <row r="74">
          <cell r="B74">
            <v>3623</v>
          </cell>
          <cell r="C74" t="str">
            <v>Hurricane - Copa Hurricane 696 ml</v>
          </cell>
          <cell r="D74">
            <v>1661.16</v>
          </cell>
        </row>
        <row r="75">
          <cell r="B75">
            <v>3692</v>
          </cell>
          <cell r="C75" t="str">
            <v>Selene - Bowl para Snacks 29,3 cms.</v>
          </cell>
          <cell r="D75">
            <v>7028.18</v>
          </cell>
        </row>
        <row r="76">
          <cell r="B76">
            <v>3701</v>
          </cell>
          <cell r="C76" t="str">
            <v>Embassy -  Copa Mini-Martini 89 ml</v>
          </cell>
          <cell r="D76">
            <v>1013.46</v>
          </cell>
        </row>
        <row r="77">
          <cell r="B77">
            <v>3705</v>
          </cell>
          <cell r="C77" t="str">
            <v>Embassy - Copa Cognac 340 ml</v>
          </cell>
          <cell r="D77">
            <v>1064.26</v>
          </cell>
        </row>
        <row r="78">
          <cell r="B78">
            <v>3708</v>
          </cell>
          <cell r="C78" t="str">
            <v>Embassy - Copa Cognac 518 ml</v>
          </cell>
          <cell r="D78">
            <v>1076.96</v>
          </cell>
        </row>
        <row r="79">
          <cell r="B79">
            <v>3709</v>
          </cell>
          <cell r="C79" t="str">
            <v>Embassy - Copa Cognac 651 ml</v>
          </cell>
          <cell r="D79">
            <v>1176.02</v>
          </cell>
        </row>
        <row r="80">
          <cell r="B80">
            <v>3717</v>
          </cell>
          <cell r="C80" t="str">
            <v>Embassy Royale - Copa Poco Grande 392 ml</v>
          </cell>
          <cell r="D80">
            <v>1270</v>
          </cell>
        </row>
        <row r="81">
          <cell r="B81">
            <v>3722</v>
          </cell>
          <cell r="C81" t="str">
            <v>Smoothie - Copa Licuado 473 ml</v>
          </cell>
          <cell r="D81">
            <v>1661.16</v>
          </cell>
        </row>
        <row r="82">
          <cell r="B82">
            <v>3725</v>
          </cell>
          <cell r="C82" t="str">
            <v>Embassy - Copa Cerveza 355 ml</v>
          </cell>
          <cell r="D82">
            <v>1041.3999999999999</v>
          </cell>
        </row>
        <row r="83">
          <cell r="B83">
            <v>3728</v>
          </cell>
          <cell r="C83" t="str">
            <v>Embassy - Copa Cerveza 355 ml</v>
          </cell>
          <cell r="D83">
            <v>1049.02</v>
          </cell>
        </row>
        <row r="84">
          <cell r="B84">
            <v>3775</v>
          </cell>
          <cell r="C84" t="str">
            <v>Embassy - Copa Whiskey Sour 133 ml</v>
          </cell>
          <cell r="D84">
            <v>995.68</v>
          </cell>
        </row>
        <row r="85">
          <cell r="B85">
            <v>3779</v>
          </cell>
          <cell r="C85" t="str">
            <v>Embassy - Copa Martini 274 ml</v>
          </cell>
          <cell r="D85">
            <v>1206.5</v>
          </cell>
        </row>
        <row r="86">
          <cell r="B86">
            <v>3794</v>
          </cell>
          <cell r="C86" t="str">
            <v>Embassy - Copa Champagne Flauta 133 ml</v>
          </cell>
          <cell r="D86">
            <v>1028.7</v>
          </cell>
        </row>
        <row r="87">
          <cell r="B87">
            <v>3796</v>
          </cell>
          <cell r="C87" t="str">
            <v>Embassy Royale - Copa Champagne Flauta 177 ml</v>
          </cell>
          <cell r="D87">
            <v>1244.6000000000001</v>
          </cell>
        </row>
        <row r="88">
          <cell r="B88">
            <v>3800</v>
          </cell>
          <cell r="C88" t="str">
            <v>Mexico - Jarra 1,78 lts.</v>
          </cell>
          <cell r="D88">
            <v>2905.7599999999998</v>
          </cell>
        </row>
        <row r="89">
          <cell r="B89">
            <v>3801</v>
          </cell>
          <cell r="C89" t="str">
            <v>Embassy - Sorbet Degustación 81 ml</v>
          </cell>
          <cell r="D89">
            <v>995.68</v>
          </cell>
        </row>
        <row r="90">
          <cell r="B90">
            <v>3804</v>
          </cell>
          <cell r="C90" t="str">
            <v>Embassy - Pilsner 473 ml</v>
          </cell>
          <cell r="D90">
            <v>1087.1200000000001</v>
          </cell>
        </row>
        <row r="91">
          <cell r="B91">
            <v>3807</v>
          </cell>
          <cell r="C91" t="str">
            <v>Belgian Beer - Copa cerveza 384 ml</v>
          </cell>
          <cell r="D91">
            <v>1272.54</v>
          </cell>
        </row>
        <row r="92">
          <cell r="B92">
            <v>3808</v>
          </cell>
          <cell r="C92" t="str">
            <v>Belgian Beer - Copa cerveza 473 ml</v>
          </cell>
          <cell r="D92">
            <v>1310.6400000000001</v>
          </cell>
        </row>
        <row r="93">
          <cell r="B93">
            <v>3811</v>
          </cell>
          <cell r="C93" t="str">
            <v>Acapulco - Jarra 0,25 lts.</v>
          </cell>
          <cell r="D93">
            <v>2473.96</v>
          </cell>
        </row>
        <row r="94">
          <cell r="B94">
            <v>3816</v>
          </cell>
          <cell r="C94" t="str">
            <v>Belgian Beer - Taster 148 ml</v>
          </cell>
          <cell r="D94">
            <v>1186.18</v>
          </cell>
        </row>
        <row r="95">
          <cell r="B95">
            <v>3823</v>
          </cell>
          <cell r="C95" t="str">
            <v>Catalina - Copa Cerveza Alta 414 ml</v>
          </cell>
          <cell r="D95">
            <v>1427.48</v>
          </cell>
        </row>
        <row r="96">
          <cell r="B96">
            <v>3825</v>
          </cell>
          <cell r="C96" t="str">
            <v>Catalina - Copa Postre Dessert 296 ml</v>
          </cell>
          <cell r="D96">
            <v>1226.82</v>
          </cell>
        </row>
        <row r="97">
          <cell r="B97" t="str">
            <v>3848M</v>
          </cell>
          <cell r="C97" t="str">
            <v>Jarro Frasco Liso 488 ml</v>
          </cell>
          <cell r="D97">
            <v>1087.1200000000001</v>
          </cell>
        </row>
        <row r="98">
          <cell r="B98">
            <v>3849</v>
          </cell>
          <cell r="C98" t="str">
            <v>Jarro Frasco Country 488 ml</v>
          </cell>
          <cell r="D98">
            <v>1087.1200000000001</v>
          </cell>
        </row>
        <row r="99">
          <cell r="B99">
            <v>3856</v>
          </cell>
          <cell r="C99" t="str">
            <v>Jarra Decantadora 1 lts.</v>
          </cell>
          <cell r="D99">
            <v>1508.76</v>
          </cell>
        </row>
        <row r="100">
          <cell r="B100">
            <v>3857</v>
          </cell>
          <cell r="C100" t="str">
            <v>Jarra Decantadora 0,5 lts.</v>
          </cell>
          <cell r="D100">
            <v>1155.7</v>
          </cell>
        </row>
        <row r="101">
          <cell r="B101">
            <v>3864</v>
          </cell>
          <cell r="C101" t="str">
            <v>Acapulco - Jarra 1 lts.</v>
          </cell>
          <cell r="D101">
            <v>3489.96</v>
          </cell>
        </row>
        <row r="102">
          <cell r="B102">
            <v>3882</v>
          </cell>
          <cell r="C102" t="str">
            <v>Atlantis - Jarra 2,20 lts.</v>
          </cell>
          <cell r="D102">
            <v>4592.32</v>
          </cell>
        </row>
        <row r="103">
          <cell r="B103">
            <v>3886</v>
          </cell>
          <cell r="C103" t="str">
            <v>Mexico - Jarra 1 lts..</v>
          </cell>
          <cell r="D103">
            <v>2237.7400000000002</v>
          </cell>
        </row>
        <row r="104">
          <cell r="B104">
            <v>3911</v>
          </cell>
          <cell r="C104" t="str">
            <v>Teardrop - Copa Agua 355 ml</v>
          </cell>
          <cell r="D104">
            <v>995.68</v>
          </cell>
        </row>
        <row r="105">
          <cell r="B105">
            <v>3915</v>
          </cell>
          <cell r="C105" t="str">
            <v>Teardrop - Copa Cerveza 436 ml</v>
          </cell>
          <cell r="D105">
            <v>1071.8799999999999</v>
          </cell>
        </row>
        <row r="106">
          <cell r="B106">
            <v>3957</v>
          </cell>
          <cell r="C106" t="str">
            <v>Acapulco - Jarra 3,6 lts.</v>
          </cell>
          <cell r="D106">
            <v>6891.0199999999995</v>
          </cell>
        </row>
        <row r="107">
          <cell r="B107">
            <v>3965</v>
          </cell>
          <cell r="C107" t="str">
            <v>Teardrop - Copa Vino Blanco 252 ml</v>
          </cell>
          <cell r="D107">
            <v>957.58</v>
          </cell>
        </row>
        <row r="108">
          <cell r="B108">
            <v>3988</v>
          </cell>
          <cell r="C108" t="str">
            <v>Teardrop - Copa Sherry 89 ml</v>
          </cell>
          <cell r="D108">
            <v>970.28</v>
          </cell>
        </row>
        <row r="109">
          <cell r="B109">
            <v>3996</v>
          </cell>
          <cell r="C109" t="str">
            <v>Teardrop - Copa Champagne Flauta 292 ml</v>
          </cell>
          <cell r="D109">
            <v>1041.3999999999999</v>
          </cell>
        </row>
        <row r="110">
          <cell r="B110">
            <v>4036</v>
          </cell>
          <cell r="C110" t="str">
            <v>Brilliance - Copa Vino Diamond 430 ml</v>
          </cell>
          <cell r="D110">
            <v>1104.8999999999999</v>
          </cell>
        </row>
        <row r="111">
          <cell r="B111">
            <v>4037</v>
          </cell>
          <cell r="C111" t="str">
            <v>Brilliance - Copa Vino Diamond 550 ml</v>
          </cell>
          <cell r="D111">
            <v>1450.34</v>
          </cell>
        </row>
        <row r="112">
          <cell r="B112">
            <v>4075</v>
          </cell>
          <cell r="C112" t="str">
            <v>Brilliance - Copa Stemless  Diamond 450 ml</v>
          </cell>
          <cell r="D112">
            <v>848.36</v>
          </cell>
        </row>
        <row r="113">
          <cell r="B113">
            <v>4078</v>
          </cell>
          <cell r="C113" t="str">
            <v>Brilliance - Copa Cerveza Diamond 500 ml</v>
          </cell>
          <cell r="D113">
            <v>1046.48</v>
          </cell>
        </row>
        <row r="114">
          <cell r="B114">
            <v>4304</v>
          </cell>
          <cell r="C114" t="str">
            <v>Irish coffee 244 ml</v>
          </cell>
          <cell r="D114">
            <v>1003.3000000000001</v>
          </cell>
        </row>
        <row r="115">
          <cell r="B115">
            <v>4390</v>
          </cell>
          <cell r="C115" t="str">
            <v>Jarro de café 142 ml</v>
          </cell>
          <cell r="D115">
            <v>769.62</v>
          </cell>
        </row>
        <row r="116">
          <cell r="B116">
            <v>4808</v>
          </cell>
          <cell r="C116" t="str">
            <v>Pub Glass - Pinta 476 ml</v>
          </cell>
          <cell r="D116">
            <v>911.86</v>
          </cell>
        </row>
        <row r="117">
          <cell r="B117">
            <v>5001</v>
          </cell>
          <cell r="C117" t="str">
            <v>Frankfurt Mug 621 ml</v>
          </cell>
          <cell r="D117">
            <v>2392.6799999999998</v>
          </cell>
        </row>
        <row r="118">
          <cell r="B118">
            <v>5110</v>
          </cell>
          <cell r="C118" t="str">
            <v>Soda - Copa Milk Shake 355 ml</v>
          </cell>
          <cell r="D118">
            <v>1150.6200000000001</v>
          </cell>
        </row>
        <row r="119">
          <cell r="B119">
            <v>5118</v>
          </cell>
          <cell r="C119" t="str">
            <v>Supreme - Copa 503 ml</v>
          </cell>
          <cell r="D119">
            <v>1313.18</v>
          </cell>
        </row>
        <row r="120">
          <cell r="B120">
            <v>5120</v>
          </cell>
          <cell r="C120" t="str">
            <v>Shooter - Vaso 44 ml</v>
          </cell>
          <cell r="D120">
            <v>574.04</v>
          </cell>
        </row>
        <row r="121">
          <cell r="B121" t="str">
            <v>5120E</v>
          </cell>
          <cell r="C121" t="str">
            <v>Shooter - Vaso Color Verde Juniper 44 ml</v>
          </cell>
          <cell r="D121">
            <v>1013.46</v>
          </cell>
        </row>
        <row r="122">
          <cell r="B122">
            <v>5137</v>
          </cell>
          <cell r="C122" t="str">
            <v>Restaurante Basics - Vaso Mixing Glass 592 ml</v>
          </cell>
          <cell r="D122">
            <v>1216.6600000000001</v>
          </cell>
        </row>
        <row r="123">
          <cell r="B123">
            <v>5160</v>
          </cell>
          <cell r="C123" t="str">
            <v>Vaso Oyster Cocktail para Degustación 66 ml</v>
          </cell>
          <cell r="D123">
            <v>556.26</v>
          </cell>
        </row>
        <row r="124">
          <cell r="B124">
            <v>5277</v>
          </cell>
          <cell r="C124" t="str">
            <v>Vaso Prism Shot para Degustacipon 59 ml</v>
          </cell>
          <cell r="D124">
            <v>612.14</v>
          </cell>
        </row>
        <row r="125">
          <cell r="B125">
            <v>5292</v>
          </cell>
          <cell r="C125" t="str">
            <v>Irish Coffee Recto 251 ml</v>
          </cell>
          <cell r="D125">
            <v>1374.14</v>
          </cell>
        </row>
        <row r="126">
          <cell r="B126">
            <v>5293</v>
          </cell>
          <cell r="C126" t="str">
            <v>Irish Coffee Cónico 244 ml</v>
          </cell>
          <cell r="D126">
            <v>1059.18</v>
          </cell>
        </row>
        <row r="127">
          <cell r="B127">
            <v>5298</v>
          </cell>
          <cell r="C127" t="str">
            <v>Scandinavia Mug 444 ml</v>
          </cell>
          <cell r="D127">
            <v>1778</v>
          </cell>
        </row>
        <row r="128">
          <cell r="B128">
            <v>5303</v>
          </cell>
          <cell r="C128" t="str">
            <v>Tempo - Ensaladera Cuadrada 22,8 cms</v>
          </cell>
          <cell r="D128">
            <v>4325.62</v>
          </cell>
        </row>
        <row r="129">
          <cell r="B129">
            <v>5314</v>
          </cell>
          <cell r="C129" t="str">
            <v>Tulip Sundae - Copa 155 ml</v>
          </cell>
          <cell r="D129">
            <v>1488.44</v>
          </cell>
        </row>
        <row r="130">
          <cell r="B130">
            <v>5321</v>
          </cell>
          <cell r="C130" t="str">
            <v>Tempo - Bowl Rectangular 31 x 15 cms.</v>
          </cell>
          <cell r="D130">
            <v>4378.96</v>
          </cell>
        </row>
        <row r="131">
          <cell r="B131">
            <v>5349</v>
          </cell>
          <cell r="C131" t="str">
            <v>Selene - Bowl para ensalada</v>
          </cell>
          <cell r="D131">
            <v>5537.2</v>
          </cell>
        </row>
        <row r="132">
          <cell r="B132">
            <v>5437</v>
          </cell>
          <cell r="C132" t="str">
            <v>Eiffel - Salero 33 ml</v>
          </cell>
          <cell r="D132">
            <v>1137.92</v>
          </cell>
        </row>
        <row r="133">
          <cell r="B133">
            <v>5539</v>
          </cell>
          <cell r="C133" t="str">
            <v>Salero C/Tapa de Metal 32 ml</v>
          </cell>
          <cell r="D133">
            <v>1008.38</v>
          </cell>
        </row>
        <row r="134">
          <cell r="B134">
            <v>5541</v>
          </cell>
          <cell r="C134" t="str">
            <v>Selene - Decantador de Vino 2 lts.</v>
          </cell>
          <cell r="D134">
            <v>7157.72</v>
          </cell>
        </row>
        <row r="135">
          <cell r="B135">
            <v>5600</v>
          </cell>
          <cell r="C135" t="str">
            <v>Chopp Cerveza Panelado 475 ml</v>
          </cell>
          <cell r="D135">
            <v>1506.22</v>
          </cell>
        </row>
        <row r="136">
          <cell r="B136">
            <v>5671</v>
          </cell>
          <cell r="C136" t="str">
            <v>Super Chopp Cerveza 1 lts.</v>
          </cell>
          <cell r="D136">
            <v>1617.98</v>
          </cell>
        </row>
        <row r="137">
          <cell r="B137">
            <v>5680</v>
          </cell>
          <cell r="C137" t="str">
            <v>Jarro de café 251 ml</v>
          </cell>
          <cell r="D137">
            <v>1043.94</v>
          </cell>
        </row>
        <row r="138">
          <cell r="B138">
            <v>5681</v>
          </cell>
          <cell r="C138" t="str">
            <v>Chopp Cerveza 375 ml</v>
          </cell>
          <cell r="D138">
            <v>1242.06</v>
          </cell>
        </row>
        <row r="139">
          <cell r="B139">
            <v>5781</v>
          </cell>
          <cell r="C139" t="str">
            <v>Eva - Plato Postre</v>
          </cell>
          <cell r="D139">
            <v>1234.44</v>
          </cell>
        </row>
        <row r="140">
          <cell r="B140">
            <v>5782</v>
          </cell>
          <cell r="C140" t="str">
            <v>Eva - Plato Bowl 594 ml</v>
          </cell>
          <cell r="D140">
            <v>1445.26</v>
          </cell>
        </row>
        <row r="141">
          <cell r="B141">
            <v>5914</v>
          </cell>
          <cell r="C141" t="str">
            <v>Tempo - Bowl Cuadrado 7,55 cms</v>
          </cell>
          <cell r="D141">
            <v>612.14</v>
          </cell>
        </row>
        <row r="142">
          <cell r="B142">
            <v>6116</v>
          </cell>
          <cell r="C142" t="str">
            <v>Roly Poly - Portavelas 142 ml</v>
          </cell>
          <cell r="D142">
            <v>314.95999999999998</v>
          </cell>
        </row>
        <row r="143">
          <cell r="B143">
            <v>6129</v>
          </cell>
          <cell r="C143" t="str">
            <v>Cavana - Vaso Cooler 473 ml</v>
          </cell>
          <cell r="D143">
            <v>635</v>
          </cell>
        </row>
        <row r="144">
          <cell r="B144">
            <v>6130</v>
          </cell>
          <cell r="C144" t="str">
            <v>Roly Poly – Portavela Gde 327 ml</v>
          </cell>
          <cell r="D144">
            <v>401.32</v>
          </cell>
        </row>
        <row r="145">
          <cell r="B145">
            <v>6164</v>
          </cell>
          <cell r="C145" t="str">
            <v>Porta Velas Cuadrado Chico 9,5 x 8,3 cms; 300 ml</v>
          </cell>
          <cell r="D145">
            <v>1193.8</v>
          </cell>
        </row>
        <row r="146">
          <cell r="B146">
            <v>6165</v>
          </cell>
          <cell r="C146" t="str">
            <v>Porta Velas Cuadrado Mediano 10,6 x 9,6 cms: 466 ml</v>
          </cell>
          <cell r="D146">
            <v>1460.5</v>
          </cell>
        </row>
        <row r="147">
          <cell r="B147">
            <v>6166</v>
          </cell>
          <cell r="C147" t="str">
            <v>Porta Velas Cuadrado Grande 12 x10,9 cms: 710 ml</v>
          </cell>
          <cell r="D147">
            <v>1846.58</v>
          </cell>
        </row>
        <row r="148">
          <cell r="B148">
            <v>6220</v>
          </cell>
          <cell r="C148" t="str">
            <v>Boston - Vaso Alto 377 ml</v>
          </cell>
          <cell r="D148">
            <v>500.38</v>
          </cell>
        </row>
        <row r="149">
          <cell r="B149">
            <v>6221</v>
          </cell>
          <cell r="C149" t="str">
            <v>Boston - Vaso Bajo 290 ml</v>
          </cell>
          <cell r="D149">
            <v>436.88</v>
          </cell>
        </row>
        <row r="150">
          <cell r="B150">
            <v>6284</v>
          </cell>
          <cell r="C150" t="str">
            <v>Eva - Vaso 475 ml</v>
          </cell>
          <cell r="D150">
            <v>645.16</v>
          </cell>
        </row>
        <row r="151">
          <cell r="B151">
            <v>6292</v>
          </cell>
          <cell r="C151" t="str">
            <v>Boston - Vaso Cooler 477 ml</v>
          </cell>
          <cell r="D151">
            <v>614.67999999999995</v>
          </cell>
        </row>
        <row r="152">
          <cell r="B152">
            <v>6293</v>
          </cell>
          <cell r="C152" t="str">
            <v>Vaso cervecero IPA 615 ml</v>
          </cell>
          <cell r="D152">
            <v>701.04</v>
          </cell>
        </row>
        <row r="153">
          <cell r="B153">
            <v>6386</v>
          </cell>
          <cell r="C153" t="str">
            <v>Fondo Grueso -  Vaso Cooler 483 ml</v>
          </cell>
          <cell r="D153">
            <v>553.72</v>
          </cell>
        </row>
        <row r="154">
          <cell r="B154">
            <v>6404</v>
          </cell>
          <cell r="C154" t="str">
            <v>Fondo Grueso -  Vaso Trago Largo 346 ml</v>
          </cell>
          <cell r="D154">
            <v>449.58</v>
          </cell>
        </row>
        <row r="155">
          <cell r="B155">
            <v>6622</v>
          </cell>
          <cell r="C155" t="str">
            <v>Fondo Grueso -  Vaso Jugo 230 ml</v>
          </cell>
          <cell r="D155">
            <v>358.14</v>
          </cell>
        </row>
        <row r="156">
          <cell r="B156">
            <v>6624</v>
          </cell>
          <cell r="C156" t="str">
            <v>Fondo Grueso -  Vaso Beverage 310 ml</v>
          </cell>
          <cell r="D156">
            <v>403.86</v>
          </cell>
        </row>
        <row r="157">
          <cell r="B157">
            <v>6625</v>
          </cell>
          <cell r="C157" t="str">
            <v>Fondo Grueso -  Vaso High Ball 361 ml</v>
          </cell>
          <cell r="D157">
            <v>482.59999999999997</v>
          </cell>
        </row>
        <row r="158">
          <cell r="B158">
            <v>6700</v>
          </cell>
          <cell r="C158" t="str">
            <v>Bravo - Vaso Cerveza 325 ml</v>
          </cell>
          <cell r="D158">
            <v>457.2</v>
          </cell>
        </row>
        <row r="159">
          <cell r="B159">
            <v>6714</v>
          </cell>
          <cell r="C159" t="str">
            <v>Fondo Grueso -  Vaso Whisky 328 ml</v>
          </cell>
          <cell r="D159">
            <v>474.98</v>
          </cell>
        </row>
        <row r="160">
          <cell r="B160">
            <v>6793</v>
          </cell>
          <cell r="C160" t="str">
            <v>Bravato - Pilsner 354 ml</v>
          </cell>
          <cell r="D160">
            <v>505.46</v>
          </cell>
        </row>
        <row r="161">
          <cell r="B161">
            <v>7082</v>
          </cell>
          <cell r="C161" t="str">
            <v>Vinagregra con tapa de vidrio 177 ml</v>
          </cell>
          <cell r="D161">
            <v>1277.6200000000001</v>
          </cell>
        </row>
        <row r="162">
          <cell r="B162">
            <v>7103</v>
          </cell>
          <cell r="C162" t="str">
            <v xml:space="preserve">Polka Ejecutiva - Set Jarra y Tapa Vaso </v>
          </cell>
          <cell r="D162">
            <v>6042.66</v>
          </cell>
        </row>
        <row r="163">
          <cell r="B163">
            <v>7280</v>
          </cell>
          <cell r="C163" t="str">
            <v>Impressions Vaso DOF 370 ml Set x 4</v>
          </cell>
          <cell r="D163">
            <v>2532.38</v>
          </cell>
        </row>
        <row r="164">
          <cell r="B164">
            <v>7500</v>
          </cell>
          <cell r="C164" t="str">
            <v>Vina - Copa Champagne Flauta 237 ml</v>
          </cell>
          <cell r="D164">
            <v>1417.32</v>
          </cell>
        </row>
        <row r="165">
          <cell r="B165">
            <v>7504</v>
          </cell>
          <cell r="C165" t="str">
            <v>Vina - Copa Vino Alta 547 ml</v>
          </cell>
          <cell r="D165">
            <v>1470.66</v>
          </cell>
        </row>
        <row r="166">
          <cell r="B166">
            <v>7505</v>
          </cell>
          <cell r="C166" t="str">
            <v>Vina - Copa Balloon 540 ml</v>
          </cell>
          <cell r="D166">
            <v>1503.68</v>
          </cell>
        </row>
        <row r="167">
          <cell r="B167">
            <v>7512</v>
          </cell>
          <cell r="C167" t="str">
            <v>Vina - Copa Martini 237 ml</v>
          </cell>
          <cell r="D167">
            <v>1579.8799999999999</v>
          </cell>
        </row>
        <row r="168">
          <cell r="B168">
            <v>7517</v>
          </cell>
          <cell r="C168" t="str">
            <v>Vina - Copa Tall Wine 303 ml</v>
          </cell>
          <cell r="D168">
            <v>1376.68</v>
          </cell>
        </row>
        <row r="169">
          <cell r="B169">
            <v>7518</v>
          </cell>
          <cell r="C169" t="str">
            <v>Vina - Copa Martini 296 ml</v>
          </cell>
          <cell r="D169">
            <v>1661.16</v>
          </cell>
        </row>
        <row r="170">
          <cell r="B170">
            <v>7519</v>
          </cell>
          <cell r="C170" t="str">
            <v>Vina - Copa Vino 355 ml</v>
          </cell>
          <cell r="D170">
            <v>1412.24</v>
          </cell>
        </row>
        <row r="171">
          <cell r="B171">
            <v>7520</v>
          </cell>
          <cell r="C171" t="str">
            <v>Vina - Copa Vino 532 ml</v>
          </cell>
          <cell r="D171">
            <v>1541.78</v>
          </cell>
        </row>
        <row r="172">
          <cell r="B172">
            <v>7552</v>
          </cell>
          <cell r="C172" t="str">
            <v>Vina - Copa Flauta Trumpet 192 ml</v>
          </cell>
          <cell r="D172">
            <v>1783.08</v>
          </cell>
        </row>
        <row r="173">
          <cell r="B173">
            <v>7696</v>
          </cell>
          <cell r="C173" t="str">
            <v>Plato de torta con pie 31cm</v>
          </cell>
          <cell r="D173">
            <v>8392.16</v>
          </cell>
        </row>
        <row r="174">
          <cell r="B174">
            <v>7700</v>
          </cell>
          <cell r="C174" t="str">
            <v>Bravura - Copa Martini 200 ml</v>
          </cell>
          <cell r="D174">
            <v>1836.42</v>
          </cell>
        </row>
        <row r="175">
          <cell r="B175">
            <v>7760</v>
          </cell>
          <cell r="C175" t="str">
            <v>Boston - Set  4 vasos DOF 377 ml</v>
          </cell>
          <cell r="D175">
            <v>2346.96</v>
          </cell>
        </row>
        <row r="176">
          <cell r="B176">
            <v>7878</v>
          </cell>
          <cell r="C176" t="str">
            <v>Tempo - Juego 12 piezas</v>
          </cell>
          <cell r="D176">
            <v>15814.039999999999</v>
          </cell>
        </row>
        <row r="177">
          <cell r="B177">
            <v>7985</v>
          </cell>
          <cell r="C177" t="str">
            <v>Early American Oil Lamp Set</v>
          </cell>
          <cell r="D177">
            <v>9949.18</v>
          </cell>
        </row>
        <row r="178">
          <cell r="B178">
            <v>8019</v>
          </cell>
          <cell r="C178" t="str">
            <v>Selene - Juego 3 Piezas de Bandejas con pie</v>
          </cell>
          <cell r="D178">
            <v>25394.920000000002</v>
          </cell>
        </row>
        <row r="179">
          <cell r="B179">
            <v>8054</v>
          </cell>
          <cell r="C179" t="str">
            <v>Copa de café Georgian</v>
          </cell>
          <cell r="D179">
            <v>1094.74</v>
          </cell>
        </row>
        <row r="180">
          <cell r="B180">
            <v>8114</v>
          </cell>
          <cell r="C180" t="str">
            <v>Domo Pastelero con Base 19 cms</v>
          </cell>
          <cell r="D180">
            <v>9664.6999999999989</v>
          </cell>
        </row>
        <row r="181">
          <cell r="B181">
            <v>8429</v>
          </cell>
          <cell r="C181" t="str">
            <v>Citation - Copa Coupette Margarita 266 ml</v>
          </cell>
          <cell r="D181">
            <v>1623.06</v>
          </cell>
        </row>
        <row r="182">
          <cell r="B182">
            <v>8437</v>
          </cell>
          <cell r="C182" t="str">
            <v>Tempo - Juego Ensaladeras 5 Piezas</v>
          </cell>
          <cell r="D182">
            <v>10756.9</v>
          </cell>
        </row>
        <row r="183">
          <cell r="B183">
            <v>8480</v>
          </cell>
          <cell r="C183" t="str">
            <v>Grande Collection - Copa Salud Grande 296 ml</v>
          </cell>
          <cell r="D183">
            <v>1960.8799999999999</v>
          </cell>
        </row>
        <row r="184">
          <cell r="B184">
            <v>8602</v>
          </cell>
          <cell r="C184" t="str">
            <v>Boston - Set  4 vasos DOF 296 ml</v>
          </cell>
          <cell r="D184">
            <v>2258.06</v>
          </cell>
        </row>
        <row r="185">
          <cell r="B185">
            <v>8883</v>
          </cell>
          <cell r="C185" t="str">
            <v>Omega - Copa Martini 200 ml</v>
          </cell>
          <cell r="D185">
            <v>2156.46</v>
          </cell>
        </row>
        <row r="186">
          <cell r="B186">
            <v>8954</v>
          </cell>
          <cell r="C186" t="str">
            <v xml:space="preserve">Apetizer Set - Juego 3 piezas </v>
          </cell>
          <cell r="D186">
            <v>4574.54</v>
          </cell>
        </row>
        <row r="187">
          <cell r="B187">
            <v>9015</v>
          </cell>
          <cell r="C187" t="str">
            <v>MR Rennaissance - Vaso vino Stemless 473 ml</v>
          </cell>
          <cell r="D187">
            <v>1894.84</v>
          </cell>
        </row>
        <row r="188">
          <cell r="B188">
            <v>9017</v>
          </cell>
          <cell r="C188" t="str">
            <v>MR Rennaissance - Vaso vino Stemless 562 ml</v>
          </cell>
          <cell r="D188">
            <v>1922.78</v>
          </cell>
        </row>
        <row r="189">
          <cell r="B189">
            <v>9122</v>
          </cell>
          <cell r="C189" t="str">
            <v>MR Rennaissance - Copa vino 384 ml</v>
          </cell>
          <cell r="D189">
            <v>2390.14</v>
          </cell>
        </row>
        <row r="190">
          <cell r="B190">
            <v>9124</v>
          </cell>
          <cell r="C190" t="str">
            <v>MR Rennaissance - Copa vino 591 ml</v>
          </cell>
          <cell r="D190">
            <v>2466.34</v>
          </cell>
        </row>
        <row r="191">
          <cell r="B191">
            <v>9130</v>
          </cell>
          <cell r="C191" t="str">
            <v>MR Rennaissance - Copa Goblet 399 ml</v>
          </cell>
          <cell r="D191">
            <v>2334.2599999999998</v>
          </cell>
        </row>
        <row r="192">
          <cell r="B192">
            <v>9138</v>
          </cell>
          <cell r="C192" t="str">
            <v>MR Rennaissance - Copa Champagne 327 ml</v>
          </cell>
          <cell r="D192">
            <v>2385.06</v>
          </cell>
        </row>
        <row r="193">
          <cell r="B193">
            <v>9322</v>
          </cell>
          <cell r="C193" t="str">
            <v>MR Prism -  Copa vino 384 ml</v>
          </cell>
          <cell r="D193">
            <v>2750.82</v>
          </cell>
        </row>
        <row r="194">
          <cell r="B194">
            <v>9324</v>
          </cell>
          <cell r="C194" t="str">
            <v>MR Prism -  Copa vino 562 ml</v>
          </cell>
          <cell r="D194">
            <v>2837.18</v>
          </cell>
        </row>
        <row r="195">
          <cell r="B195">
            <v>9332</v>
          </cell>
          <cell r="C195" t="str">
            <v>MR Prism - Copa Champagne 237 ml</v>
          </cell>
          <cell r="D195">
            <v>2694.94</v>
          </cell>
        </row>
        <row r="196">
          <cell r="B196" t="str">
            <v>14801HT</v>
          </cell>
          <cell r="C196" t="str">
            <v>English Pub Glass 592 ml</v>
          </cell>
          <cell r="D196">
            <v>1026.1600000000001</v>
          </cell>
        </row>
        <row r="197">
          <cell r="B197" t="str">
            <v>14806HT</v>
          </cell>
          <cell r="C197" t="str">
            <v>English Pub Glass 473 ml</v>
          </cell>
          <cell r="D197">
            <v>1003.3000000000001</v>
          </cell>
        </row>
        <row r="198">
          <cell r="B198" t="str">
            <v>14810HT</v>
          </cell>
          <cell r="C198" t="str">
            <v>English Pub Glass 296 ml</v>
          </cell>
          <cell r="D198">
            <v>955.04</v>
          </cell>
        </row>
        <row r="199">
          <cell r="B199">
            <v>15232</v>
          </cell>
          <cell r="C199" t="str">
            <v>Gibraltar - Vaso  Rocks 296 ml</v>
          </cell>
          <cell r="D199">
            <v>762</v>
          </cell>
        </row>
        <row r="200">
          <cell r="B200">
            <v>15235</v>
          </cell>
          <cell r="C200" t="str">
            <v>Gibraltar - Vaso Cooler 355 ml</v>
          </cell>
          <cell r="D200">
            <v>835.66</v>
          </cell>
        </row>
        <row r="201">
          <cell r="B201">
            <v>15238</v>
          </cell>
          <cell r="C201" t="str">
            <v>Gibraltar - Vaso Beverage 355 ml</v>
          </cell>
          <cell r="D201">
            <v>782.32</v>
          </cell>
        </row>
        <row r="202">
          <cell r="B202">
            <v>15239</v>
          </cell>
          <cell r="C202" t="str">
            <v>Gibraltar - Vaso Hi Ball 207 ml</v>
          </cell>
          <cell r="D202">
            <v>967.74</v>
          </cell>
        </row>
        <row r="203">
          <cell r="B203">
            <v>15242</v>
          </cell>
          <cell r="C203" t="str">
            <v>Gibraltar - Vaso Rocks 266 ml</v>
          </cell>
          <cell r="D203">
            <v>985.52</v>
          </cell>
        </row>
        <row r="204">
          <cell r="B204">
            <v>15244</v>
          </cell>
          <cell r="C204" t="str">
            <v>Gibraltar - Vaso Beverage 414 ml</v>
          </cell>
          <cell r="D204">
            <v>871.22</v>
          </cell>
        </row>
        <row r="205">
          <cell r="B205">
            <v>15246</v>
          </cell>
          <cell r="C205" t="str">
            <v>Gibraltar - Copa Vino 252 ml</v>
          </cell>
          <cell r="D205">
            <v>1854.2</v>
          </cell>
        </row>
        <row r="206">
          <cell r="B206">
            <v>15247</v>
          </cell>
          <cell r="C206" t="str">
            <v>Gibraltar - Copa Agua 340 ml</v>
          </cell>
          <cell r="D206">
            <v>1894.84</v>
          </cell>
        </row>
        <row r="207">
          <cell r="B207">
            <v>15248</v>
          </cell>
          <cell r="C207" t="str">
            <v>Gibraltar - Vaso Soda 133 ml</v>
          </cell>
          <cell r="D207">
            <v>548.64</v>
          </cell>
        </row>
        <row r="208">
          <cell r="B208">
            <v>15256</v>
          </cell>
          <cell r="C208" t="str">
            <v>Gibraltar - Vaso Cooler 473 ml</v>
          </cell>
          <cell r="D208">
            <v>1031.24</v>
          </cell>
        </row>
        <row r="209">
          <cell r="B209">
            <v>15709</v>
          </cell>
          <cell r="C209" t="str">
            <v>Endeavor - Vaso Rocks 207 ml</v>
          </cell>
          <cell r="D209">
            <v>815.34</v>
          </cell>
        </row>
        <row r="210">
          <cell r="B210">
            <v>15710</v>
          </cell>
          <cell r="C210" t="str">
            <v>Endeavor - Vaso Rocks 266 ml</v>
          </cell>
          <cell r="D210">
            <v>891.54</v>
          </cell>
        </row>
        <row r="211">
          <cell r="B211">
            <v>15712</v>
          </cell>
          <cell r="C211" t="str">
            <v>Endeavor - Vaso DOF 355 ml</v>
          </cell>
          <cell r="D211">
            <v>1028.7</v>
          </cell>
        </row>
        <row r="212">
          <cell r="B212">
            <v>15713</v>
          </cell>
          <cell r="C212" t="str">
            <v>Endeavor - Vaso Beverage 355 ml</v>
          </cell>
          <cell r="D212">
            <v>1036.32</v>
          </cell>
        </row>
        <row r="213">
          <cell r="B213">
            <v>15714</v>
          </cell>
          <cell r="C213" t="str">
            <v>Endeavor - Vaso Beverage 414 ml</v>
          </cell>
          <cell r="D213">
            <v>1137.92</v>
          </cell>
        </row>
        <row r="214">
          <cell r="B214">
            <v>15715</v>
          </cell>
          <cell r="C214" t="str">
            <v>Endeavor - Vaso Cooler 473 ml</v>
          </cell>
          <cell r="D214">
            <v>1226.82</v>
          </cell>
        </row>
        <row r="215">
          <cell r="B215">
            <v>15717</v>
          </cell>
          <cell r="C215" t="str">
            <v>Endeavor - Vaso Cooler 599 ml</v>
          </cell>
          <cell r="D215">
            <v>1328.42</v>
          </cell>
        </row>
        <row r="216">
          <cell r="B216">
            <v>15733</v>
          </cell>
          <cell r="C216" t="str">
            <v>Endeavor - Vaso Espresso 110 ml</v>
          </cell>
          <cell r="D216">
            <v>546.1</v>
          </cell>
        </row>
        <row r="217">
          <cell r="B217">
            <v>23106</v>
          </cell>
          <cell r="C217" t="str">
            <v>Nob Hill - Tall Hi Ball 311 ml</v>
          </cell>
          <cell r="D217">
            <v>635</v>
          </cell>
        </row>
        <row r="218">
          <cell r="B218">
            <v>23236</v>
          </cell>
          <cell r="C218" t="str">
            <v>Nob Hill - Hi-Ball 207 ml</v>
          </cell>
          <cell r="D218">
            <v>726.43999999999994</v>
          </cell>
        </row>
        <row r="219">
          <cell r="B219">
            <v>23396</v>
          </cell>
          <cell r="C219" t="str">
            <v>Nob Hill - Double Old Fashioned 362 ml</v>
          </cell>
          <cell r="D219">
            <v>769.62</v>
          </cell>
        </row>
        <row r="220">
          <cell r="B220">
            <v>23496</v>
          </cell>
          <cell r="C220" t="str">
            <v>Nob Hill - Juice 148 ml</v>
          </cell>
          <cell r="D220">
            <v>711.19999999999993</v>
          </cell>
        </row>
        <row r="221">
          <cell r="B221">
            <v>23596</v>
          </cell>
          <cell r="C221" t="str">
            <v>Nob Hill - Beverage 333 ml</v>
          </cell>
          <cell r="D221">
            <v>828.04</v>
          </cell>
        </row>
        <row r="222">
          <cell r="B222">
            <v>37179</v>
          </cell>
          <cell r="C222" t="str">
            <v>Z-Stem - Copa Poco Grande 399 ml</v>
          </cell>
          <cell r="D222">
            <v>1475.74</v>
          </cell>
        </row>
        <row r="223">
          <cell r="B223">
            <v>37799</v>
          </cell>
          <cell r="C223" t="str">
            <v>Z Stem - Copa Martini 274 ml</v>
          </cell>
          <cell r="D223">
            <v>1572.26</v>
          </cell>
        </row>
        <row r="224">
          <cell r="B224">
            <v>56614</v>
          </cell>
          <cell r="C224" t="str">
            <v>Perfect Whiskey - Set 4 vasos 290 ml</v>
          </cell>
          <cell r="D224">
            <v>6761.4800000000005</v>
          </cell>
        </row>
        <row r="225">
          <cell r="B225">
            <v>70355</v>
          </cell>
          <cell r="C225" t="str">
            <v>Herritage - Botella 222 ml</v>
          </cell>
          <cell r="D225">
            <v>1176.02</v>
          </cell>
        </row>
        <row r="226">
          <cell r="B226">
            <v>80866</v>
          </cell>
          <cell r="C226" t="str">
            <v>Vineyard Reserve  - Set 8 vasos Stemless</v>
          </cell>
          <cell r="D226">
            <v>12186.92</v>
          </cell>
        </row>
        <row r="227">
          <cell r="B227">
            <v>92164</v>
          </cell>
          <cell r="C227" t="str">
            <v>Farmhouse - Jarra de infusión con canilla 7 lts.</v>
          </cell>
          <cell r="D227">
            <v>20535.899999999998</v>
          </cell>
        </row>
        <row r="228">
          <cell r="B228">
            <v>96381</v>
          </cell>
          <cell r="C228" t="str">
            <v>Bandeja Madera para Servicios de Degustación</v>
          </cell>
          <cell r="D228">
            <v>3731.2599999999998</v>
          </cell>
        </row>
        <row r="229">
          <cell r="B229">
            <v>154627</v>
          </cell>
          <cell r="C229" t="str">
            <v>Allure Copa Vino Alta 530 ml.</v>
          </cell>
          <cell r="D229">
            <v>1333.5</v>
          </cell>
        </row>
        <row r="230">
          <cell r="B230">
            <v>210262</v>
          </cell>
          <cell r="C230" t="str">
            <v xml:space="preserve">Cocktails - Copa Gin Tonic 650ml </v>
          </cell>
          <cell r="D230">
            <v>6431.28</v>
          </cell>
        </row>
        <row r="231">
          <cell r="B231">
            <v>253245</v>
          </cell>
          <cell r="C231" t="str">
            <v>Proportions Wine - Set 2 Copas de Vino 730 ml.</v>
          </cell>
          <cell r="D231">
            <v>3789.68</v>
          </cell>
        </row>
        <row r="232">
          <cell r="B232">
            <v>253276</v>
          </cell>
          <cell r="C232" t="str">
            <v>Proportions Wine - Set 2 copas de vino 580 ml.</v>
          </cell>
          <cell r="D232">
            <v>3141.98</v>
          </cell>
        </row>
        <row r="233">
          <cell r="B233">
            <v>265217</v>
          </cell>
          <cell r="C233" t="str">
            <v>Carré - Copa de Vino Diamante 530 ml.</v>
          </cell>
          <cell r="D233">
            <v>1300.48</v>
          </cell>
        </row>
        <row r="234">
          <cell r="B234">
            <v>440539</v>
          </cell>
          <cell r="C234" t="str">
            <v>L Esprit  Du Vin Copa de cata 220 ml.</v>
          </cell>
          <cell r="D234">
            <v>1231.8999999999999</v>
          </cell>
        </row>
        <row r="235">
          <cell r="B235">
            <v>540628</v>
          </cell>
          <cell r="C235" t="str">
            <v>L Esprit  Du Vin Copa Vino 410 ml.</v>
          </cell>
          <cell r="D235">
            <v>1214.1200000000001</v>
          </cell>
        </row>
        <row r="236">
          <cell r="B236">
            <v>540673</v>
          </cell>
          <cell r="C236" t="str">
            <v>L Esprit  Du Vin Copa Flauta 210 ml.</v>
          </cell>
          <cell r="D236">
            <v>1231.8999999999999</v>
          </cell>
        </row>
        <row r="237">
          <cell r="B237">
            <v>541625</v>
          </cell>
          <cell r="C237" t="str">
            <v>L Esprit  Du Vin Copa Vino  530 ml.</v>
          </cell>
          <cell r="D237">
            <v>1214.1200000000001</v>
          </cell>
        </row>
        <row r="238">
          <cell r="B238">
            <v>603064</v>
          </cell>
          <cell r="C238" t="str">
            <v>Copa cocktail 320 ml.</v>
          </cell>
          <cell r="D238">
            <v>2136.14</v>
          </cell>
        </row>
        <row r="239">
          <cell r="B239">
            <v>828061</v>
          </cell>
          <cell r="C239" t="str">
            <v>Arome - Vaso Whisky DOF 350 ml.</v>
          </cell>
          <cell r="D239">
            <v>1315.72</v>
          </cell>
        </row>
        <row r="240">
          <cell r="B240">
            <v>920192</v>
          </cell>
          <cell r="C240" t="str">
            <v>Cidra - Vaso bajo 220 ml.</v>
          </cell>
          <cell r="D240">
            <v>711.19999999999993</v>
          </cell>
        </row>
        <row r="241">
          <cell r="B241">
            <v>920253</v>
          </cell>
          <cell r="C241" t="str">
            <v>Maxim - Chopp 620 ml.</v>
          </cell>
          <cell r="D241">
            <v>1582.42</v>
          </cell>
        </row>
        <row r="242">
          <cell r="B242">
            <v>920284</v>
          </cell>
          <cell r="C242" t="str">
            <v>Munique - Copra cerveza 490 ml.</v>
          </cell>
          <cell r="D242">
            <v>848.36</v>
          </cell>
        </row>
        <row r="243">
          <cell r="B243">
            <v>920314</v>
          </cell>
          <cell r="C243" t="str">
            <v>Acapulco- Jarro de café 280 ml.</v>
          </cell>
          <cell r="D243">
            <v>985.52</v>
          </cell>
        </row>
        <row r="244">
          <cell r="B244">
            <v>921465</v>
          </cell>
          <cell r="C244" t="str">
            <v>Gran Service - Copa 600 ml.</v>
          </cell>
          <cell r="D244">
            <v>1341.1200000000001</v>
          </cell>
        </row>
        <row r="245">
          <cell r="B245">
            <v>924152</v>
          </cell>
          <cell r="C245" t="str">
            <v>Hobstar - Vaso DOF 355 ml.</v>
          </cell>
          <cell r="D245">
            <v>1450.34</v>
          </cell>
        </row>
        <row r="246">
          <cell r="B246">
            <v>924640</v>
          </cell>
          <cell r="C246" t="str">
            <v>Acapulco - Taza de café 180 ml.</v>
          </cell>
          <cell r="D246">
            <v>1023.6200000000001</v>
          </cell>
        </row>
        <row r="247">
          <cell r="B247">
            <v>925500</v>
          </cell>
          <cell r="C247" t="str">
            <v>Carats - Vaso de Whisky  355 ml.</v>
          </cell>
          <cell r="D247">
            <v>1069.3399999999999</v>
          </cell>
        </row>
        <row r="248">
          <cell r="B248">
            <v>926774</v>
          </cell>
          <cell r="C248" t="str">
            <v>Carats - Vaso Berverage 410 ml.</v>
          </cell>
          <cell r="D248">
            <v>1214.1200000000001</v>
          </cell>
        </row>
        <row r="249">
          <cell r="B249">
            <v>926781</v>
          </cell>
          <cell r="C249" t="str">
            <v>Carats - Jarra Mixing Glass 750 ml.</v>
          </cell>
          <cell r="D249">
            <v>1209.04</v>
          </cell>
        </row>
        <row r="250">
          <cell r="B250">
            <v>224700014</v>
          </cell>
          <cell r="C250" t="str">
            <v>Country - Copa 420 ml.</v>
          </cell>
          <cell r="D250">
            <v>695.96</v>
          </cell>
        </row>
        <row r="251">
          <cell r="B251">
            <v>226200003</v>
          </cell>
          <cell r="C251" t="str">
            <v>Country - Copa postre 380 ml.</v>
          </cell>
          <cell r="D251">
            <v>693.42</v>
          </cell>
        </row>
        <row r="252">
          <cell r="B252">
            <v>258000001</v>
          </cell>
          <cell r="C252" t="str">
            <v>Oval dessert 250 ml.</v>
          </cell>
          <cell r="D252">
            <v>1229.3599999999999</v>
          </cell>
        </row>
        <row r="253">
          <cell r="B253">
            <v>278300001</v>
          </cell>
          <cell r="C253" t="str">
            <v>Acapulco - Café expresso 80 ml.</v>
          </cell>
          <cell r="D253">
            <v>612.14</v>
          </cell>
        </row>
        <row r="254">
          <cell r="B254">
            <v>364200001</v>
          </cell>
          <cell r="C254" t="str">
            <v>Spirit - Copa de vino 580 ml.</v>
          </cell>
          <cell r="D254">
            <v>1318.26</v>
          </cell>
        </row>
        <row r="255">
          <cell r="B255">
            <v>377800003</v>
          </cell>
          <cell r="C255" t="str">
            <v>Ensemble - Copa sin pie 450 ml.</v>
          </cell>
          <cell r="D255">
            <v>792.48</v>
          </cell>
        </row>
        <row r="256">
          <cell r="B256">
            <v>378900004</v>
          </cell>
          <cell r="C256" t="str">
            <v>Stark - Vaso whisky DOF 360 ml.</v>
          </cell>
          <cell r="D256">
            <v>1023.6200000000001</v>
          </cell>
        </row>
        <row r="257">
          <cell r="B257">
            <v>378900005</v>
          </cell>
          <cell r="C257" t="str">
            <v>Stark - Vaso trago largo HB 410 ml.</v>
          </cell>
          <cell r="D257">
            <v>1028.7</v>
          </cell>
        </row>
        <row r="258">
          <cell r="B258" t="str">
            <v>A080</v>
          </cell>
          <cell r="C258" t="str">
            <v>Tempo - Juego de Servir 5 Piezas</v>
          </cell>
          <cell r="D258">
            <v>4632.96</v>
          </cell>
        </row>
        <row r="259">
          <cell r="B259" t="str">
            <v>A497</v>
          </cell>
          <cell r="C259" t="str">
            <v>Selene - Juego de Servicio 4 Piezas</v>
          </cell>
          <cell r="D259">
            <v>11668.76</v>
          </cell>
        </row>
        <row r="260">
          <cell r="B260" t="str">
            <v>A573</v>
          </cell>
          <cell r="C260" t="str">
            <v>City - Juego de vajilla 12 piezas</v>
          </cell>
          <cell r="D260">
            <v>18788.38</v>
          </cell>
        </row>
        <row r="261">
          <cell r="B261" t="str">
            <v>A960</v>
          </cell>
          <cell r="C261" t="str">
            <v>Selene - Pastelero con domo</v>
          </cell>
          <cell r="D261">
            <v>12573</v>
          </cell>
        </row>
        <row r="262">
          <cell r="B262" t="str">
            <v>B120</v>
          </cell>
          <cell r="C262" t="str">
            <v>Bravess - Set 4 vasos Pilsner 370 ml</v>
          </cell>
          <cell r="D262">
            <v>2844.7999999999997</v>
          </cell>
        </row>
        <row r="263">
          <cell r="B263" t="str">
            <v>B342</v>
          </cell>
          <cell r="C263" t="str">
            <v>Serendipity Vaso Stemless 497 ml Set x 4</v>
          </cell>
          <cell r="D263">
            <v>3982.72</v>
          </cell>
        </row>
        <row r="264">
          <cell r="B264" t="str">
            <v>C334</v>
          </cell>
          <cell r="C264" t="str">
            <v>Serendipity Vaso Cooler 503 ml Set x 4</v>
          </cell>
          <cell r="D264">
            <v>4818.38</v>
          </cell>
        </row>
        <row r="265">
          <cell r="B265" t="str">
            <v>C335</v>
          </cell>
          <cell r="C265" t="str">
            <v xml:space="preserve">Serendipity - Vaso Dof 370 ml Set x 4 </v>
          </cell>
          <cell r="D265">
            <v>3972.56</v>
          </cell>
        </row>
        <row r="266">
          <cell r="B266" t="str">
            <v>PH1</v>
          </cell>
          <cell r="C266" t="str">
            <v>Farmhouse - Pie de Hierro simple</v>
          </cell>
          <cell r="D266">
            <v>3685.98</v>
          </cell>
        </row>
        <row r="267">
          <cell r="B267" t="str">
            <v>PH2</v>
          </cell>
          <cell r="C267" t="str">
            <v>Farmhouse - Pie de Hierro doble</v>
          </cell>
          <cell r="D267">
            <v>5495.43</v>
          </cell>
        </row>
      </sheetData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G18"/>
  <sheetViews>
    <sheetView showGridLines="0" tabSelected="1" workbookViewId="0">
      <selection activeCell="I14" sqref="I14"/>
    </sheetView>
  </sheetViews>
  <sheetFormatPr baseColWidth="10" defaultRowHeight="14.5" x14ac:dyDescent="0.35"/>
  <cols>
    <col min="1" max="1" width="13.08984375" customWidth="1"/>
    <col min="2" max="2" width="38.7265625" bestFit="1" customWidth="1"/>
    <col min="3" max="3" width="11.08984375" customWidth="1"/>
    <col min="4" max="4" width="15.453125" customWidth="1"/>
    <col min="5" max="5" width="9.54296875" bestFit="1" customWidth="1"/>
    <col min="6" max="6" width="8.7265625" bestFit="1" customWidth="1"/>
    <col min="7" max="7" width="14.453125" customWidth="1"/>
  </cols>
  <sheetData>
    <row r="1" spans="1:7" x14ac:dyDescent="0.35">
      <c r="A1" s="2" t="s">
        <v>11</v>
      </c>
      <c r="B1" s="2" t="s">
        <v>12</v>
      </c>
      <c r="C1" s="2" t="s">
        <v>13</v>
      </c>
      <c r="D1" s="2" t="s">
        <v>14</v>
      </c>
      <c r="E1" s="2" t="s">
        <v>15</v>
      </c>
      <c r="F1" s="2" t="s">
        <v>16</v>
      </c>
      <c r="G1" s="2" t="s">
        <v>17</v>
      </c>
    </row>
    <row r="2" spans="1:7" x14ac:dyDescent="0.35">
      <c r="A2" s="1" t="s">
        <v>0</v>
      </c>
      <c r="B2" s="3" t="str">
        <f>+VLOOKUP(A2,[1]Libbey!$B$7:$D$267,2,0)</f>
        <v>Restaurant Basics - Vaso Mixing Glass 473 ml</v>
      </c>
      <c r="C2" s="1" t="s">
        <v>4</v>
      </c>
      <c r="D2" s="1" t="s">
        <v>10</v>
      </c>
      <c r="E2" s="4">
        <v>0</v>
      </c>
      <c r="F2" s="4">
        <f>+VLOOKUP(A2,[1]Libbey!$B$7:$D$267,3,0)</f>
        <v>1280.1600000000001</v>
      </c>
      <c r="G2" s="4" t="str">
        <f>+A2&amp;(".jpg")</f>
        <v>1639HT.jpg</v>
      </c>
    </row>
    <row r="3" spans="1:7" x14ac:dyDescent="0.35">
      <c r="A3" s="1">
        <v>3808</v>
      </c>
      <c r="B3" s="3" t="str">
        <f>+VLOOKUP(A3,[1]Libbey!$B$7:$D$267,2,0)</f>
        <v>Belgian Beer - Copa cerveza 473 ml</v>
      </c>
      <c r="C3" s="1" t="s">
        <v>5</v>
      </c>
      <c r="D3" s="1" t="s">
        <v>10</v>
      </c>
      <c r="E3" s="4">
        <v>0.1</v>
      </c>
      <c r="F3" s="4">
        <f>+VLOOKUP(A3,[1]Libbey!$B$7:$D$267,3,0)</f>
        <v>1310.6400000000001</v>
      </c>
      <c r="G3" s="4" t="str">
        <f t="shared" ref="G3:G18" si="0">+A3&amp;(".jpg")</f>
        <v>3808.jpg</v>
      </c>
    </row>
    <row r="4" spans="1:7" x14ac:dyDescent="0.35">
      <c r="A4" s="1">
        <v>5292</v>
      </c>
      <c r="B4" s="3" t="str">
        <f>+VLOOKUP(A4,[1]Libbey!$B$7:$D$267,2,0)</f>
        <v>Irish Coffee Recto 251 ml</v>
      </c>
      <c r="C4" s="1" t="s">
        <v>6</v>
      </c>
      <c r="D4" s="1" t="s">
        <v>7</v>
      </c>
      <c r="E4" s="4">
        <v>0</v>
      </c>
      <c r="F4" s="4">
        <f>+VLOOKUP(A4,[1]Libbey!$B$7:$D$267,3,0)</f>
        <v>1374.14</v>
      </c>
      <c r="G4" s="4" t="str">
        <f t="shared" si="0"/>
        <v>5292.jpg</v>
      </c>
    </row>
    <row r="5" spans="1:7" x14ac:dyDescent="0.35">
      <c r="A5" s="1">
        <v>5293</v>
      </c>
      <c r="B5" s="3" t="str">
        <f>+VLOOKUP(A5,[1]Libbey!$B$7:$D$267,2,0)</f>
        <v>Irish Coffee Cónico 244 ml</v>
      </c>
      <c r="C5" s="1" t="s">
        <v>6</v>
      </c>
      <c r="D5" s="1" t="s">
        <v>7</v>
      </c>
      <c r="E5" s="4">
        <v>0</v>
      </c>
      <c r="F5" s="4">
        <f>+VLOOKUP(A5,[1]Libbey!$B$7:$D$267,3,0)</f>
        <v>1059.18</v>
      </c>
      <c r="G5" s="4" t="str">
        <f t="shared" si="0"/>
        <v>5293.jpg</v>
      </c>
    </row>
    <row r="6" spans="1:7" x14ac:dyDescent="0.35">
      <c r="A6" s="1">
        <v>7504</v>
      </c>
      <c r="B6" s="3" t="str">
        <f>+VLOOKUP(A6,[1]Libbey!$B$7:$D$267,2,0)</f>
        <v>Vina - Copa Vino Alta 547 ml</v>
      </c>
      <c r="C6" s="1" t="s">
        <v>5</v>
      </c>
      <c r="D6" s="1" t="s">
        <v>8</v>
      </c>
      <c r="E6" s="4">
        <v>0</v>
      </c>
      <c r="F6" s="4">
        <f>+VLOOKUP(A6,[1]Libbey!$B$7:$D$267,3,0)</f>
        <v>1470.66</v>
      </c>
      <c r="G6" s="4" t="str">
        <f t="shared" si="0"/>
        <v>7504.jpg</v>
      </c>
    </row>
    <row r="7" spans="1:7" x14ac:dyDescent="0.35">
      <c r="A7" s="1">
        <v>9322</v>
      </c>
      <c r="B7" s="3" t="str">
        <f>+VLOOKUP(A7,[1]Libbey!$B$7:$D$267,2,0)</f>
        <v>MR Prism -  Copa vino 384 ml</v>
      </c>
      <c r="C7" s="1" t="s">
        <v>5</v>
      </c>
      <c r="D7" s="1" t="s">
        <v>8</v>
      </c>
      <c r="E7" s="4">
        <v>0</v>
      </c>
      <c r="F7" s="4">
        <f>+VLOOKUP(A7,[1]Libbey!$B$7:$D$267,3,0)</f>
        <v>2750.82</v>
      </c>
      <c r="G7" s="4" t="str">
        <f t="shared" si="0"/>
        <v>9322.jpg</v>
      </c>
    </row>
    <row r="8" spans="1:7" x14ac:dyDescent="0.35">
      <c r="A8" s="1">
        <v>9324</v>
      </c>
      <c r="B8" s="3" t="str">
        <f>+VLOOKUP(A8,[1]Libbey!$B$7:$D$267,2,0)</f>
        <v>MR Prism -  Copa vino 562 ml</v>
      </c>
      <c r="C8" s="1" t="s">
        <v>5</v>
      </c>
      <c r="D8" s="1" t="s">
        <v>8</v>
      </c>
      <c r="E8" s="4">
        <v>0.1</v>
      </c>
      <c r="F8" s="4">
        <f>+VLOOKUP(A8,[1]Libbey!$B$7:$D$267,3,0)</f>
        <v>2837.18</v>
      </c>
      <c r="G8" s="4" t="str">
        <f t="shared" si="0"/>
        <v>9324.jpg</v>
      </c>
    </row>
    <row r="9" spans="1:7" x14ac:dyDescent="0.35">
      <c r="A9" s="1">
        <v>9332</v>
      </c>
      <c r="B9" s="3" t="str">
        <f>+VLOOKUP(A9,[1]Libbey!$B$7:$D$267,2,0)</f>
        <v>MR Prism - Copa Champagne 237 ml</v>
      </c>
      <c r="C9" s="1" t="s">
        <v>5</v>
      </c>
      <c r="D9" s="1" t="s">
        <v>9</v>
      </c>
      <c r="E9" s="4">
        <v>0</v>
      </c>
      <c r="F9" s="4">
        <f>+VLOOKUP(A9,[1]Libbey!$B$7:$D$267,3,0)</f>
        <v>2694.94</v>
      </c>
      <c r="G9" s="4" t="str">
        <f t="shared" si="0"/>
        <v>9332.jpg</v>
      </c>
    </row>
    <row r="10" spans="1:7" x14ac:dyDescent="0.35">
      <c r="A10" s="1" t="s">
        <v>1</v>
      </c>
      <c r="B10" s="3" t="str">
        <f>+VLOOKUP(A10,[1]Libbey!$B$7:$D$267,2,0)</f>
        <v>English Pub Glass 592 ml</v>
      </c>
      <c r="C10" s="1" t="s">
        <v>4</v>
      </c>
      <c r="D10" s="1" t="s">
        <v>10</v>
      </c>
      <c r="E10" s="4">
        <v>0.2</v>
      </c>
      <c r="F10" s="4">
        <f>+VLOOKUP(A10,[1]Libbey!$B$7:$D$267,3,0)</f>
        <v>1026.1600000000001</v>
      </c>
      <c r="G10" s="4" t="str">
        <f t="shared" si="0"/>
        <v>14801HT.jpg</v>
      </c>
    </row>
    <row r="11" spans="1:7" x14ac:dyDescent="0.35">
      <c r="A11" s="1" t="s">
        <v>2</v>
      </c>
      <c r="B11" s="3" t="str">
        <f>+VLOOKUP(A11,[1]Libbey!$B$7:$D$267,2,0)</f>
        <v>English Pub Glass 473 ml</v>
      </c>
      <c r="C11" s="1" t="s">
        <v>4</v>
      </c>
      <c r="D11" s="1" t="s">
        <v>10</v>
      </c>
      <c r="E11" s="4">
        <v>0.3</v>
      </c>
      <c r="F11" s="4">
        <f>+VLOOKUP(A11,[1]Libbey!$B$7:$D$267,3,0)</f>
        <v>1003.3000000000001</v>
      </c>
      <c r="G11" s="4" t="str">
        <f t="shared" si="0"/>
        <v>14806HT.jpg</v>
      </c>
    </row>
    <row r="12" spans="1:7" x14ac:dyDescent="0.35">
      <c r="A12" s="1" t="s">
        <v>3</v>
      </c>
      <c r="B12" s="3" t="str">
        <f>+VLOOKUP(A12,[1]Libbey!$B$7:$D$267,2,0)</f>
        <v>English Pub Glass 296 ml</v>
      </c>
      <c r="C12" s="1" t="s">
        <v>4</v>
      </c>
      <c r="D12" s="1" t="s">
        <v>10</v>
      </c>
      <c r="E12" s="4">
        <v>0.35</v>
      </c>
      <c r="F12" s="4">
        <f>+VLOOKUP(A12,[1]Libbey!$B$7:$D$267,3,0)</f>
        <v>955.04</v>
      </c>
      <c r="G12" s="4" t="str">
        <f t="shared" si="0"/>
        <v>14810HT.jpg</v>
      </c>
    </row>
    <row r="13" spans="1:7" x14ac:dyDescent="0.35">
      <c r="A13" s="1">
        <v>440539</v>
      </c>
      <c r="B13" s="3" t="str">
        <f>+VLOOKUP(A13,[1]Libbey!$B$7:$D$267,2,0)</f>
        <v>L Esprit  Du Vin Copa de cata 220 ml.</v>
      </c>
      <c r="C13" s="1" t="s">
        <v>5</v>
      </c>
      <c r="D13" s="1" t="s">
        <v>8</v>
      </c>
      <c r="E13" s="4">
        <v>0</v>
      </c>
      <c r="F13" s="4">
        <f>+VLOOKUP(A13,[1]Libbey!$B$7:$D$267,3,0)</f>
        <v>1231.8999999999999</v>
      </c>
      <c r="G13" s="4" t="str">
        <f t="shared" si="0"/>
        <v>440539.jpg</v>
      </c>
    </row>
    <row r="14" spans="1:7" x14ac:dyDescent="0.35">
      <c r="A14" s="1">
        <v>540628</v>
      </c>
      <c r="B14" s="3" t="str">
        <f>+VLOOKUP(A14,[1]Libbey!$B$7:$D$267,2,0)</f>
        <v>L Esprit  Du Vin Copa Vino 410 ml.</v>
      </c>
      <c r="C14" s="1" t="s">
        <v>5</v>
      </c>
      <c r="D14" s="1" t="s">
        <v>8</v>
      </c>
      <c r="E14" s="4">
        <v>0</v>
      </c>
      <c r="F14" s="4">
        <f>+VLOOKUP(A14,[1]Libbey!$B$7:$D$267,3,0)</f>
        <v>1214.1200000000001</v>
      </c>
      <c r="G14" s="4" t="str">
        <f t="shared" si="0"/>
        <v>540628.jpg</v>
      </c>
    </row>
    <row r="15" spans="1:7" x14ac:dyDescent="0.35">
      <c r="A15" s="1">
        <v>540673</v>
      </c>
      <c r="B15" s="3" t="str">
        <f>+VLOOKUP(A15,[1]Libbey!$B$7:$D$267,2,0)</f>
        <v>L Esprit  Du Vin Copa Flauta 210 ml.</v>
      </c>
      <c r="C15" s="1" t="s">
        <v>5</v>
      </c>
      <c r="D15" s="1" t="s">
        <v>9</v>
      </c>
      <c r="E15" s="4">
        <v>0</v>
      </c>
      <c r="F15" s="4">
        <f>+VLOOKUP(A15,[1]Libbey!$B$7:$D$267,3,0)</f>
        <v>1231.8999999999999</v>
      </c>
      <c r="G15" s="4" t="str">
        <f t="shared" si="0"/>
        <v>540673.jpg</v>
      </c>
    </row>
    <row r="16" spans="1:7" x14ac:dyDescent="0.35">
      <c r="A16" s="1">
        <v>541625</v>
      </c>
      <c r="B16" s="3" t="str">
        <f>+VLOOKUP(A16,[1]Libbey!$B$7:$D$267,2,0)</f>
        <v>L Esprit  Du Vin Copa Vino  530 ml.</v>
      </c>
      <c r="C16" s="1" t="s">
        <v>5</v>
      </c>
      <c r="D16" s="1" t="s">
        <v>8</v>
      </c>
      <c r="E16" s="4">
        <v>0</v>
      </c>
      <c r="F16" s="4">
        <f>+VLOOKUP(A16,[1]Libbey!$B$7:$D$267,3,0)</f>
        <v>1214.1200000000001</v>
      </c>
      <c r="G16" s="4" t="str">
        <f t="shared" si="0"/>
        <v>541625.jpg</v>
      </c>
    </row>
    <row r="17" spans="1:7" x14ac:dyDescent="0.35">
      <c r="A17" s="1"/>
      <c r="B17" s="1"/>
      <c r="C17" s="1"/>
      <c r="D17" s="1"/>
      <c r="E17" s="5"/>
      <c r="F17" s="1"/>
      <c r="G17" s="4" t="str">
        <f t="shared" si="0"/>
        <v>.jpg</v>
      </c>
    </row>
    <row r="18" spans="1:7" x14ac:dyDescent="0.35">
      <c r="A18" s="1"/>
      <c r="B18" s="1"/>
      <c r="C18" s="1"/>
      <c r="D18" s="1"/>
      <c r="E18" s="5"/>
      <c r="F18" s="1"/>
      <c r="G18" s="4" t="str">
        <f t="shared" si="0"/>
        <v>.jpg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A16"/>
  <sheetViews>
    <sheetView workbookViewId="0">
      <selection activeCell="A19" sqref="A19"/>
    </sheetView>
  </sheetViews>
  <sheetFormatPr baseColWidth="10" defaultRowHeight="14.5" x14ac:dyDescent="0.35"/>
  <cols>
    <col min="1" max="1" width="136.453125" customWidth="1"/>
  </cols>
  <sheetData>
    <row r="1" spans="1:1" ht="11.5" customHeight="1" x14ac:dyDescent="0.35">
      <c r="A1" s="6"/>
    </row>
    <row r="2" spans="1:1" x14ac:dyDescent="0.35">
      <c r="A2" s="7" t="s">
        <v>18</v>
      </c>
    </row>
    <row r="3" spans="1:1" x14ac:dyDescent="0.35">
      <c r="A3" t="s">
        <v>19</v>
      </c>
    </row>
    <row r="4" spans="1:1" x14ac:dyDescent="0.35">
      <c r="A4" t="s">
        <v>20</v>
      </c>
    </row>
    <row r="5" spans="1:1" x14ac:dyDescent="0.35">
      <c r="A5" t="s">
        <v>21</v>
      </c>
    </row>
    <row r="6" spans="1:1" x14ac:dyDescent="0.35">
      <c r="A6" t="s">
        <v>22</v>
      </c>
    </row>
    <row r="7" spans="1:1" x14ac:dyDescent="0.35">
      <c r="A7" t="s">
        <v>23</v>
      </c>
    </row>
    <row r="8" spans="1:1" x14ac:dyDescent="0.35">
      <c r="A8" t="s">
        <v>24</v>
      </c>
    </row>
    <row r="9" spans="1:1" x14ac:dyDescent="0.35">
      <c r="A9" t="s">
        <v>25</v>
      </c>
    </row>
    <row r="10" spans="1:1" x14ac:dyDescent="0.35">
      <c r="A10" t="s">
        <v>26</v>
      </c>
    </row>
    <row r="11" spans="1:1" x14ac:dyDescent="0.35">
      <c r="A11" t="s">
        <v>27</v>
      </c>
    </row>
    <row r="12" spans="1:1" x14ac:dyDescent="0.35">
      <c r="A12" t="s">
        <v>28</v>
      </c>
    </row>
    <row r="13" spans="1:1" x14ac:dyDescent="0.35">
      <c r="A13" t="s">
        <v>29</v>
      </c>
    </row>
    <row r="14" spans="1:1" x14ac:dyDescent="0.35">
      <c r="A14" t="s">
        <v>30</v>
      </c>
    </row>
    <row r="15" spans="1:1" x14ac:dyDescent="0.35">
      <c r="A15" t="s">
        <v>31</v>
      </c>
    </row>
    <row r="16" spans="1:1" x14ac:dyDescent="0.35">
      <c r="A16" t="s">
        <v>32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Datos</vt:lpstr>
      <vt:lpstr>JSON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Malen Barcelo</dc:creator>
  <cp:lastModifiedBy>Malen Barcelo</cp:lastModifiedBy>
  <dcterms:created xsi:type="dcterms:W3CDTF">2022-11-10T13:52:15Z</dcterms:created>
  <dcterms:modified xsi:type="dcterms:W3CDTF">2022-11-10T19:31:21Z</dcterms:modified>
</cp:coreProperties>
</file>